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166925"/>
  <mc:AlternateContent xmlns:mc="http://schemas.openxmlformats.org/markup-compatibility/2006">
    <mc:Choice Requires="x15">
      <x15ac:absPath xmlns:x15ac="http://schemas.microsoft.com/office/spreadsheetml/2010/11/ac" url="/Users/sakshisalvi/Library/CloudStorage/OneDrive-ConestogaCollege/Business Analytics/Semester 02/Descriptive Analysis/Case Study 02/"/>
    </mc:Choice>
  </mc:AlternateContent>
  <xr:revisionPtr revIDLastSave="0" documentId="13_ncr:1_{50B03F62-DA5D-8442-8AA9-D58141F530FB}" xr6:coauthVersionLast="47" xr6:coauthVersionMax="47" xr10:uidLastSave="{00000000-0000-0000-0000-000000000000}"/>
  <bookViews>
    <workbookView xWindow="0" yWindow="840" windowWidth="34200" windowHeight="21400" xr2:uid="{F15397FA-DF51-4214-B27E-DFB0A133EBA7}"/>
  </bookViews>
  <sheets>
    <sheet name="ReadMeFirst" sheetId="1" r:id="rId1"/>
    <sheet name="Needs+Insights" sheetId="30" r:id="rId2"/>
    <sheet name="5 Why's" sheetId="6" r:id="rId3"/>
    <sheet name="Line B Dataset" sheetId="8" r:id="rId4"/>
    <sheet name="Line B - Shift 3" sheetId="28" r:id="rId5"/>
    <sheet name="Level 0" sheetId="21" r:id="rId6"/>
    <sheet name="Level 1" sheetId="22" r:id="rId7"/>
    <sheet name="Level 2" sheetId="24" r:id="rId8"/>
    <sheet name="Level 3" sheetId="25" r:id="rId9"/>
    <sheet name="Level 4" sheetId="29" r:id="rId10"/>
    <sheet name="Other Lists" sheetId="2" r:id="rId11"/>
    <sheet name="Inspect DM" sheetId="3" r:id="rId12"/>
    <sheet name="A Batches" sheetId="4" r:id="rId13"/>
    <sheet name="B Batches" sheetId="5" r:id="rId14"/>
  </sheets>
  <definedNames>
    <definedName name="_xlnm._FilterDatabase" localSheetId="11" hidden="1">'Inspect DM'!$A$7:$BO$7</definedName>
    <definedName name="_xlnm._FilterDatabase" localSheetId="4" hidden="1">'Line B - Shift 3'!$B$7:$AN$28</definedName>
    <definedName name="_xlnm._FilterDatabase" localSheetId="3" hidden="1">'Line B Dataset'!$B$7:$AN$70</definedName>
  </definedNames>
  <calcPr calcId="191029"/>
  <pivotCaches>
    <pivotCache cacheId="2" r:id="rId15"/>
    <pivotCache cacheId="3"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9" i="28" l="1"/>
  <c r="U10" i="28"/>
  <c r="U11" i="28"/>
  <c r="U12" i="28"/>
  <c r="U13" i="28"/>
  <c r="U14" i="28"/>
  <c r="U15" i="28"/>
  <c r="U16" i="28"/>
  <c r="U17" i="28"/>
  <c r="U18" i="28"/>
  <c r="U19" i="28"/>
  <c r="U20" i="28"/>
  <c r="U21" i="28"/>
  <c r="U22" i="28"/>
  <c r="U23" i="28"/>
  <c r="U24" i="28"/>
  <c r="U25" i="28"/>
  <c r="U26" i="28"/>
  <c r="U27" i="28"/>
  <c r="U28" i="28"/>
  <c r="U8" i="28"/>
  <c r="S9" i="28"/>
  <c r="S10" i="28"/>
  <c r="T10" i="28" s="1"/>
  <c r="V10" i="28" s="1"/>
  <c r="W10" i="28" s="1"/>
  <c r="Y10" i="28" s="1"/>
  <c r="S11" i="28"/>
  <c r="T11" i="28" s="1"/>
  <c r="V11" i="28" s="1"/>
  <c r="S12" i="28"/>
  <c r="S13" i="28"/>
  <c r="S14" i="28"/>
  <c r="S15" i="28"/>
  <c r="S16" i="28"/>
  <c r="S17" i="28"/>
  <c r="T17" i="28" s="1"/>
  <c r="V17" i="28" s="1"/>
  <c r="S18" i="28"/>
  <c r="S19" i="28"/>
  <c r="T19" i="28" s="1"/>
  <c r="V19" i="28" s="1"/>
  <c r="S20" i="28"/>
  <c r="S21" i="28"/>
  <c r="S22" i="28"/>
  <c r="S23" i="28"/>
  <c r="T23" i="28" s="1"/>
  <c r="V23" i="28" s="1"/>
  <c r="S24" i="28"/>
  <c r="S25" i="28"/>
  <c r="T25" i="28" s="1"/>
  <c r="V25" i="28" s="1"/>
  <c r="S26" i="28"/>
  <c r="T26" i="28" s="1"/>
  <c r="V26" i="28" s="1"/>
  <c r="S27" i="28"/>
  <c r="T27" i="28" s="1"/>
  <c r="V27" i="28" s="1"/>
  <c r="S28" i="28"/>
  <c r="S8" i="28"/>
  <c r="R9" i="28"/>
  <c r="R10" i="28"/>
  <c r="R11" i="28"/>
  <c r="R12" i="28"/>
  <c r="R13" i="28"/>
  <c r="R14" i="28"/>
  <c r="R15" i="28"/>
  <c r="R16" i="28"/>
  <c r="R17" i="28"/>
  <c r="R18" i="28"/>
  <c r="R19" i="28"/>
  <c r="R20" i="28"/>
  <c r="R21" i="28"/>
  <c r="R22" i="28"/>
  <c r="R23" i="28"/>
  <c r="R24" i="28"/>
  <c r="R25" i="28"/>
  <c r="R26" i="28"/>
  <c r="R27" i="28"/>
  <c r="R28" i="28"/>
  <c r="R8" i="28"/>
  <c r="Q9" i="28"/>
  <c r="X9" i="28" s="1"/>
  <c r="Q10" i="28"/>
  <c r="Q11" i="28"/>
  <c r="Q12" i="28"/>
  <c r="Q13" i="28"/>
  <c r="X13" i="28" s="1"/>
  <c r="Q14" i="28"/>
  <c r="X14" i="28" s="1"/>
  <c r="Q15" i="28"/>
  <c r="X15" i="28" s="1"/>
  <c r="Q16" i="28"/>
  <c r="X16" i="28" s="1"/>
  <c r="Q17" i="28"/>
  <c r="X17" i="28" s="1"/>
  <c r="Q18" i="28"/>
  <c r="Q19" i="28"/>
  <c r="Q20" i="28"/>
  <c r="X20" i="28" s="1"/>
  <c r="Q21" i="28"/>
  <c r="X21" i="28" s="1"/>
  <c r="Q22" i="28"/>
  <c r="X22" i="28" s="1"/>
  <c r="Q23" i="28"/>
  <c r="X23" i="28" s="1"/>
  <c r="Q24" i="28"/>
  <c r="X24" i="28" s="1"/>
  <c r="Q25" i="28"/>
  <c r="X25" i="28" s="1"/>
  <c r="Q26" i="28"/>
  <c r="Q27" i="28"/>
  <c r="X27" i="28" s="1"/>
  <c r="Q28" i="28"/>
  <c r="X28" i="28" s="1"/>
  <c r="Q8" i="28"/>
  <c r="X8" i="28" s="1"/>
  <c r="AM28" i="28"/>
  <c r="AL28" i="28"/>
  <c r="AF28" i="28"/>
  <c r="AE28" i="28"/>
  <c r="AD28" i="28"/>
  <c r="AG28" i="28" s="1"/>
  <c r="P28" i="28"/>
  <c r="O28" i="28"/>
  <c r="E28" i="28"/>
  <c r="D28" i="28"/>
  <c r="AM27" i="28"/>
  <c r="AL27" i="28"/>
  <c r="AF27" i="28"/>
  <c r="AE27" i="28"/>
  <c r="AD27" i="28"/>
  <c r="AG27" i="28" s="1"/>
  <c r="P27" i="28"/>
  <c r="O27" i="28"/>
  <c r="E27" i="28"/>
  <c r="D27" i="28"/>
  <c r="AM26" i="28"/>
  <c r="AL26" i="28"/>
  <c r="AF26" i="28"/>
  <c r="AE26" i="28"/>
  <c r="AD26" i="28"/>
  <c r="AG26" i="28" s="1"/>
  <c r="X26" i="28"/>
  <c r="P26" i="28"/>
  <c r="O26" i="28"/>
  <c r="E26" i="28"/>
  <c r="D26" i="28"/>
  <c r="AM25" i="28"/>
  <c r="AL25" i="28"/>
  <c r="AF25" i="28"/>
  <c r="AE25" i="28"/>
  <c r="AD25" i="28"/>
  <c r="AG25" i="28" s="1"/>
  <c r="P25" i="28"/>
  <c r="O25" i="28"/>
  <c r="E25" i="28"/>
  <c r="D25" i="28"/>
  <c r="AM24" i="28"/>
  <c r="AL24" i="28"/>
  <c r="AF24" i="28"/>
  <c r="AE24" i="28"/>
  <c r="AD24" i="28"/>
  <c r="AG24" i="28" s="1"/>
  <c r="P24" i="28"/>
  <c r="O24" i="28"/>
  <c r="E24" i="28"/>
  <c r="D24" i="28"/>
  <c r="AM23" i="28"/>
  <c r="AL23" i="28"/>
  <c r="AF23" i="28"/>
  <c r="AE23" i="28"/>
  <c r="AD23" i="28"/>
  <c r="AG23" i="28" s="1"/>
  <c r="P23" i="28"/>
  <c r="O23" i="28"/>
  <c r="E23" i="28"/>
  <c r="D23" i="28"/>
  <c r="AM22" i="28"/>
  <c r="AL22" i="28"/>
  <c r="AF22" i="28"/>
  <c r="AE22" i="28"/>
  <c r="AD22" i="28"/>
  <c r="AG22" i="28" s="1"/>
  <c r="P22" i="28"/>
  <c r="O22" i="28"/>
  <c r="E22" i="28"/>
  <c r="D22" i="28"/>
  <c r="AM21" i="28"/>
  <c r="AL21" i="28"/>
  <c r="AF21" i="28"/>
  <c r="AE21" i="28"/>
  <c r="AD21" i="28"/>
  <c r="AG21" i="28" s="1"/>
  <c r="P21" i="28"/>
  <c r="O21" i="28"/>
  <c r="E21" i="28"/>
  <c r="D21" i="28"/>
  <c r="AM20" i="28"/>
  <c r="AL20" i="28"/>
  <c r="AF20" i="28"/>
  <c r="AE20" i="28"/>
  <c r="AD20" i="28"/>
  <c r="AG20" i="28" s="1"/>
  <c r="P20" i="28"/>
  <c r="O20" i="28"/>
  <c r="E20" i="28"/>
  <c r="D20" i="28"/>
  <c r="AM19" i="28"/>
  <c r="AL19" i="28"/>
  <c r="AF19" i="28"/>
  <c r="AE19" i="28"/>
  <c r="AD19" i="28"/>
  <c r="AG19" i="28" s="1"/>
  <c r="X19" i="28"/>
  <c r="P19" i="28"/>
  <c r="O19" i="28"/>
  <c r="E19" i="28"/>
  <c r="D19" i="28"/>
  <c r="AM18" i="28"/>
  <c r="AL18" i="28"/>
  <c r="AF18" i="28"/>
  <c r="AE18" i="28"/>
  <c r="AD18" i="28"/>
  <c r="AG18" i="28" s="1"/>
  <c r="X18" i="28"/>
  <c r="P18" i="28"/>
  <c r="O18" i="28"/>
  <c r="E18" i="28"/>
  <c r="D18" i="28"/>
  <c r="AM17" i="28"/>
  <c r="AL17" i="28"/>
  <c r="AF17" i="28"/>
  <c r="AE17" i="28"/>
  <c r="AD17" i="28"/>
  <c r="AG17" i="28" s="1"/>
  <c r="P17" i="28"/>
  <c r="O17" i="28"/>
  <c r="E17" i="28"/>
  <c r="D17" i="28"/>
  <c r="AM16" i="28"/>
  <c r="AL16" i="28"/>
  <c r="AF16" i="28"/>
  <c r="AE16" i="28"/>
  <c r="AD16" i="28"/>
  <c r="AG16" i="28" s="1"/>
  <c r="P16" i="28"/>
  <c r="O16" i="28"/>
  <c r="E16" i="28"/>
  <c r="D16" i="28"/>
  <c r="AM15" i="28"/>
  <c r="AL15" i="28"/>
  <c r="AF15" i="28"/>
  <c r="AE15" i="28"/>
  <c r="AD15" i="28"/>
  <c r="AG15" i="28" s="1"/>
  <c r="P15" i="28"/>
  <c r="O15" i="28"/>
  <c r="E15" i="28"/>
  <c r="D15" i="28"/>
  <c r="AM14" i="28"/>
  <c r="AL14" i="28"/>
  <c r="AF14" i="28"/>
  <c r="AE14" i="28"/>
  <c r="AD14" i="28"/>
  <c r="AG14" i="28" s="1"/>
  <c r="P14" i="28"/>
  <c r="O14" i="28"/>
  <c r="E14" i="28"/>
  <c r="D14" i="28"/>
  <c r="AM13" i="28"/>
  <c r="AL13" i="28"/>
  <c r="AF13" i="28"/>
  <c r="AE13" i="28"/>
  <c r="AD13" i="28"/>
  <c r="AG13" i="28" s="1"/>
  <c r="P13" i="28"/>
  <c r="O13" i="28"/>
  <c r="E13" i="28"/>
  <c r="D13" i="28"/>
  <c r="AM12" i="28"/>
  <c r="AL12" i="28"/>
  <c r="AF12" i="28"/>
  <c r="AE12" i="28"/>
  <c r="AD12" i="28"/>
  <c r="AG12" i="28" s="1"/>
  <c r="X12" i="28"/>
  <c r="P12" i="28"/>
  <c r="O12" i="28"/>
  <c r="E12" i="28"/>
  <c r="D12" i="28"/>
  <c r="AM11" i="28"/>
  <c r="AL11" i="28"/>
  <c r="AF11" i="28"/>
  <c r="AE11" i="28"/>
  <c r="AD11" i="28"/>
  <c r="AG11" i="28" s="1"/>
  <c r="X11" i="28"/>
  <c r="P11" i="28"/>
  <c r="O11" i="28"/>
  <c r="E11" i="28"/>
  <c r="D11" i="28"/>
  <c r="AM10" i="28"/>
  <c r="AL10" i="28"/>
  <c r="AF10" i="28"/>
  <c r="AE10" i="28"/>
  <c r="AD10" i="28"/>
  <c r="AG10" i="28" s="1"/>
  <c r="X10" i="28"/>
  <c r="P10" i="28"/>
  <c r="O10" i="28"/>
  <c r="E10" i="28"/>
  <c r="D10" i="28"/>
  <c r="AM9" i="28"/>
  <c r="AL9" i="28"/>
  <c r="AF9" i="28"/>
  <c r="AE9" i="28"/>
  <c r="AD9" i="28"/>
  <c r="AG9" i="28" s="1"/>
  <c r="P9" i="28"/>
  <c r="O9" i="28"/>
  <c r="E9" i="28"/>
  <c r="D9" i="28"/>
  <c r="AM8" i="28"/>
  <c r="AL8" i="28"/>
  <c r="AF8" i="28"/>
  <c r="AE8" i="28"/>
  <c r="AD8" i="28"/>
  <c r="AG8" i="28" s="1"/>
  <c r="P8" i="28"/>
  <c r="O8" i="28"/>
  <c r="E8" i="28"/>
  <c r="D8" i="28"/>
  <c r="AM7" i="2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T14" i="28" l="1"/>
  <c r="V14" i="28" s="1"/>
  <c r="T8" i="28"/>
  <c r="V8" i="28" s="1"/>
  <c r="T21" i="28"/>
  <c r="V21" i="28" s="1"/>
  <c r="W8" i="28"/>
  <c r="Y8" i="28" s="1"/>
  <c r="T13" i="28"/>
  <c r="V13" i="28" s="1"/>
  <c r="W13" i="28" s="1"/>
  <c r="Y13" i="28" s="1"/>
  <c r="T15" i="28"/>
  <c r="V15" i="28" s="1"/>
  <c r="W15" i="28" s="1"/>
  <c r="Y15" i="28" s="1"/>
  <c r="T20" i="28"/>
  <c r="V20" i="28" s="1"/>
  <c r="W20" i="28" s="1"/>
  <c r="Y20" i="28" s="1"/>
  <c r="W14" i="28"/>
  <c r="Y14" i="28" s="1"/>
  <c r="T18" i="28"/>
  <c r="V18" i="28" s="1"/>
  <c r="W18" i="28" s="1"/>
  <c r="Y18" i="28" s="1"/>
  <c r="T16" i="28"/>
  <c r="V16" i="28" s="1"/>
  <c r="W16" i="28" s="1"/>
  <c r="Y16" i="28" s="1"/>
  <c r="W26" i="28"/>
  <c r="Y26" i="28" s="1"/>
  <c r="T9" i="28"/>
  <c r="V9" i="28" s="1"/>
  <c r="W9" i="28" s="1"/>
  <c r="Y9" i="28" s="1"/>
  <c r="T12" i="28"/>
  <c r="V12" i="28" s="1"/>
  <c r="W12" i="28" s="1"/>
  <c r="Y12" i="28" s="1"/>
  <c r="T22" i="28"/>
  <c r="V22" i="28" s="1"/>
  <c r="W22" i="28" s="1"/>
  <c r="Y22" i="28" s="1"/>
  <c r="W25" i="28"/>
  <c r="Y25" i="28" s="1"/>
  <c r="W23" i="28"/>
  <c r="Y23" i="28" s="1"/>
  <c r="W19" i="28"/>
  <c r="Y19" i="28" s="1"/>
  <c r="T28" i="28"/>
  <c r="V28" i="28" s="1"/>
  <c r="W28" i="28" s="1"/>
  <c r="Y28" i="28" s="1"/>
  <c r="T24" i="28"/>
  <c r="V24" i="28" s="1"/>
  <c r="W24" i="28" s="1"/>
  <c r="Y24" i="28" s="1"/>
  <c r="AH18" i="28"/>
  <c r="AH14" i="28"/>
  <c r="AH10" i="28"/>
  <c r="AH23" i="28"/>
  <c r="AH19" i="28"/>
  <c r="AH15" i="28"/>
  <c r="AH11" i="28"/>
  <c r="AH24" i="28"/>
  <c r="AH20" i="28"/>
  <c r="AH16" i="28"/>
  <c r="AH12" i="28"/>
  <c r="AH8" i="28"/>
  <c r="AH21" i="28"/>
  <c r="AH22" i="28"/>
  <c r="AH26" i="28"/>
  <c r="W17" i="28"/>
  <c r="Y17" i="28" s="1"/>
  <c r="AH13" i="28"/>
  <c r="W11" i="28"/>
  <c r="Y11" i="28" s="1"/>
  <c r="W21" i="28"/>
  <c r="Y21" i="28" s="1"/>
  <c r="W27" i="28"/>
  <c r="Y27" i="28" s="1"/>
  <c r="AH9" i="28"/>
  <c r="AH17" i="28"/>
  <c r="AH25" i="28"/>
  <c r="AH28" i="28"/>
  <c r="AH27" i="28"/>
  <c r="U9" i="8"/>
  <c r="U10" i="8"/>
  <c r="U11" i="8"/>
  <c r="U12" i="8"/>
  <c r="U13" i="8"/>
  <c r="U14" i="8"/>
  <c r="U15" i="8"/>
  <c r="U16" i="8"/>
  <c r="U17" i="8"/>
  <c r="U18" i="8"/>
  <c r="U19" i="8"/>
  <c r="U20" i="8"/>
  <c r="U21" i="8"/>
  <c r="U22" i="8"/>
  <c r="U23" i="8"/>
  <c r="U24" i="8"/>
  <c r="U25" i="8"/>
  <c r="U26" i="8"/>
  <c r="U27" i="8"/>
  <c r="U28" i="8"/>
  <c r="U29" i="8"/>
  <c r="U30" i="8"/>
  <c r="U31" i="8"/>
  <c r="U32" i="8"/>
  <c r="U33" i="8"/>
  <c r="U34" i="8"/>
  <c r="U35" i="8"/>
  <c r="U36" i="8"/>
  <c r="U37" i="8"/>
  <c r="U38" i="8"/>
  <c r="U39" i="8"/>
  <c r="U40" i="8"/>
  <c r="U41" i="8"/>
  <c r="U42" i="8"/>
  <c r="U43" i="8"/>
  <c r="U44" i="8"/>
  <c r="U45" i="8"/>
  <c r="U46" i="8"/>
  <c r="U47" i="8"/>
  <c r="U48" i="8"/>
  <c r="U49" i="8"/>
  <c r="U50" i="8"/>
  <c r="U51" i="8"/>
  <c r="U52" i="8"/>
  <c r="U53" i="8"/>
  <c r="U54" i="8"/>
  <c r="U55" i="8"/>
  <c r="U56" i="8"/>
  <c r="U57" i="8"/>
  <c r="U58" i="8"/>
  <c r="U59" i="8"/>
  <c r="U60" i="8"/>
  <c r="U61" i="8"/>
  <c r="U62" i="8"/>
  <c r="U63" i="8"/>
  <c r="U64" i="8"/>
  <c r="U65" i="8"/>
  <c r="U66" i="8"/>
  <c r="U67" i="8"/>
  <c r="U68" i="8"/>
  <c r="U69" i="8"/>
  <c r="U70" i="8"/>
  <c r="U8" i="8"/>
  <c r="S50" i="8"/>
  <c r="Q50" i="8"/>
  <c r="X50" i="8" s="1"/>
  <c r="D8" i="8"/>
  <c r="E8" i="8"/>
  <c r="O8" i="8"/>
  <c r="P8" i="8"/>
  <c r="Q8" i="8"/>
  <c r="X8" i="8" s="1"/>
  <c r="R8" i="8"/>
  <c r="S8" i="8"/>
  <c r="AD8" i="8"/>
  <c r="AG8" i="8" s="1"/>
  <c r="AE8" i="8"/>
  <c r="AF8" i="8"/>
  <c r="AL8" i="8"/>
  <c r="AM8" i="8"/>
  <c r="D9" i="8"/>
  <c r="E9" i="8"/>
  <c r="O9" i="8"/>
  <c r="P9" i="8"/>
  <c r="Q9" i="8"/>
  <c r="X9" i="8" s="1"/>
  <c r="R9" i="8"/>
  <c r="S9" i="8"/>
  <c r="AD9" i="8"/>
  <c r="AG9" i="8" s="1"/>
  <c r="AE9" i="8"/>
  <c r="AF9" i="8"/>
  <c r="AL9" i="8"/>
  <c r="AM9" i="8"/>
  <c r="D10" i="8"/>
  <c r="E10" i="8"/>
  <c r="O10" i="8"/>
  <c r="P10" i="8"/>
  <c r="Q10" i="8"/>
  <c r="X10" i="8" s="1"/>
  <c r="R10" i="8"/>
  <c r="S10" i="8"/>
  <c r="AD10" i="8"/>
  <c r="AG10" i="8" s="1"/>
  <c r="AE10" i="8"/>
  <c r="AF10" i="8"/>
  <c r="AL10" i="8"/>
  <c r="AM10" i="8"/>
  <c r="D11" i="8"/>
  <c r="E11" i="8"/>
  <c r="O11" i="8"/>
  <c r="P11" i="8"/>
  <c r="Q11" i="8"/>
  <c r="X11" i="8" s="1"/>
  <c r="R11" i="8"/>
  <c r="S11" i="8"/>
  <c r="AD11" i="8"/>
  <c r="AG11" i="8" s="1"/>
  <c r="AE11" i="8"/>
  <c r="AF11" i="8"/>
  <c r="AL11" i="8"/>
  <c r="AM11" i="8"/>
  <c r="D12" i="8"/>
  <c r="E12" i="8"/>
  <c r="O12" i="8"/>
  <c r="P12" i="8"/>
  <c r="Q12" i="8"/>
  <c r="X12" i="8" s="1"/>
  <c r="R12" i="8"/>
  <c r="S12" i="8"/>
  <c r="AD12" i="8"/>
  <c r="AG12" i="8" s="1"/>
  <c r="AE12" i="8"/>
  <c r="AF12" i="8"/>
  <c r="AL12" i="8"/>
  <c r="AM12" i="8"/>
  <c r="D13" i="8"/>
  <c r="E13" i="8"/>
  <c r="O13" i="8"/>
  <c r="P13" i="8"/>
  <c r="Q13" i="8"/>
  <c r="X13" i="8" s="1"/>
  <c r="R13" i="8"/>
  <c r="S13" i="8"/>
  <c r="AD13" i="8"/>
  <c r="AG13" i="8" s="1"/>
  <c r="AE13" i="8"/>
  <c r="AF13" i="8"/>
  <c r="AL13" i="8"/>
  <c r="AM13" i="8"/>
  <c r="D14" i="8"/>
  <c r="E14" i="8"/>
  <c r="O14" i="8"/>
  <c r="P14" i="8"/>
  <c r="Q14" i="8"/>
  <c r="X14" i="8" s="1"/>
  <c r="R14" i="8"/>
  <c r="S14" i="8"/>
  <c r="AD14" i="8"/>
  <c r="AG14" i="8" s="1"/>
  <c r="AE14" i="8"/>
  <c r="AF14" i="8"/>
  <c r="AL14" i="8"/>
  <c r="AM14" i="8"/>
  <c r="D15" i="8"/>
  <c r="E15" i="8"/>
  <c r="O15" i="8"/>
  <c r="P15" i="8"/>
  <c r="Q15" i="8"/>
  <c r="X15" i="8" s="1"/>
  <c r="R15" i="8"/>
  <c r="S15" i="8"/>
  <c r="AD15" i="8"/>
  <c r="AG15" i="8" s="1"/>
  <c r="AE15" i="8"/>
  <c r="AF15" i="8"/>
  <c r="AL15" i="8"/>
  <c r="AM15" i="8"/>
  <c r="D16" i="8"/>
  <c r="E16" i="8"/>
  <c r="O16" i="8"/>
  <c r="P16" i="8"/>
  <c r="Q16" i="8"/>
  <c r="X16" i="8" s="1"/>
  <c r="R16" i="8"/>
  <c r="S16" i="8"/>
  <c r="AD16" i="8"/>
  <c r="AG16" i="8" s="1"/>
  <c r="AE16" i="8"/>
  <c r="AF16" i="8"/>
  <c r="AL16" i="8"/>
  <c r="AM16" i="8"/>
  <c r="D17" i="8"/>
  <c r="E17" i="8"/>
  <c r="O17" i="8"/>
  <c r="P17" i="8"/>
  <c r="Q17" i="8"/>
  <c r="X17" i="8" s="1"/>
  <c r="R17" i="8"/>
  <c r="S17" i="8"/>
  <c r="AD17" i="8"/>
  <c r="AG17" i="8" s="1"/>
  <c r="AE17" i="8"/>
  <c r="AF17" i="8"/>
  <c r="AL17" i="8"/>
  <c r="AM17" i="8"/>
  <c r="D18" i="8"/>
  <c r="E18" i="8"/>
  <c r="O18" i="8"/>
  <c r="P18" i="8"/>
  <c r="Q18" i="8"/>
  <c r="X18" i="8" s="1"/>
  <c r="R18" i="8"/>
  <c r="S18" i="8"/>
  <c r="AD18" i="8"/>
  <c r="AG18" i="8" s="1"/>
  <c r="AE18" i="8"/>
  <c r="AF18" i="8"/>
  <c r="AL18" i="8"/>
  <c r="AM18" i="8"/>
  <c r="D19" i="8"/>
  <c r="E19" i="8"/>
  <c r="O19" i="8"/>
  <c r="P19" i="8"/>
  <c r="Q19" i="8"/>
  <c r="X19" i="8" s="1"/>
  <c r="R19" i="8"/>
  <c r="S19" i="8"/>
  <c r="AD19" i="8"/>
  <c r="AG19" i="8" s="1"/>
  <c r="AE19" i="8"/>
  <c r="AF19" i="8"/>
  <c r="AL19" i="8"/>
  <c r="AM19" i="8"/>
  <c r="D20" i="8"/>
  <c r="E20" i="8"/>
  <c r="O20" i="8"/>
  <c r="P20" i="8"/>
  <c r="Q20" i="8"/>
  <c r="X20" i="8" s="1"/>
  <c r="R20" i="8"/>
  <c r="S20" i="8"/>
  <c r="AD20" i="8"/>
  <c r="AG20" i="8" s="1"/>
  <c r="AE20" i="8"/>
  <c r="AF20" i="8"/>
  <c r="AL20" i="8"/>
  <c r="AM20" i="8"/>
  <c r="D21" i="8"/>
  <c r="E21" i="8"/>
  <c r="O21" i="8"/>
  <c r="P21" i="8"/>
  <c r="Q21" i="8"/>
  <c r="X21" i="8" s="1"/>
  <c r="R21" i="8"/>
  <c r="S21" i="8"/>
  <c r="AD21" i="8"/>
  <c r="AG21" i="8" s="1"/>
  <c r="AE21" i="8"/>
  <c r="AF21" i="8"/>
  <c r="AL21" i="8"/>
  <c r="AM21" i="8"/>
  <c r="D22" i="8"/>
  <c r="E22" i="8"/>
  <c r="O22" i="8"/>
  <c r="P22" i="8"/>
  <c r="Q22" i="8"/>
  <c r="X22" i="8" s="1"/>
  <c r="R22" i="8"/>
  <c r="S22" i="8"/>
  <c r="AD22" i="8"/>
  <c r="AG22" i="8" s="1"/>
  <c r="AE22" i="8"/>
  <c r="AF22" i="8"/>
  <c r="AL22" i="8"/>
  <c r="AM22" i="8"/>
  <c r="D23" i="8"/>
  <c r="E23" i="8"/>
  <c r="O23" i="8"/>
  <c r="P23" i="8"/>
  <c r="Q23" i="8"/>
  <c r="X23" i="8" s="1"/>
  <c r="R23" i="8"/>
  <c r="S23" i="8"/>
  <c r="AD23" i="8"/>
  <c r="AG23" i="8" s="1"/>
  <c r="AE23" i="8"/>
  <c r="AF23" i="8"/>
  <c r="AL23" i="8"/>
  <c r="AM23" i="8"/>
  <c r="D24" i="8"/>
  <c r="E24" i="8"/>
  <c r="O24" i="8"/>
  <c r="P24" i="8"/>
  <c r="Q24" i="8"/>
  <c r="X24" i="8" s="1"/>
  <c r="R24" i="8"/>
  <c r="S24" i="8"/>
  <c r="AD24" i="8"/>
  <c r="AG24" i="8" s="1"/>
  <c r="AE24" i="8"/>
  <c r="AF24" i="8"/>
  <c r="AL24" i="8"/>
  <c r="AM24" i="8"/>
  <c r="D25" i="8"/>
  <c r="E25" i="8"/>
  <c r="O25" i="8"/>
  <c r="P25" i="8"/>
  <c r="Q25" i="8"/>
  <c r="X25" i="8" s="1"/>
  <c r="R25" i="8"/>
  <c r="S25" i="8"/>
  <c r="AD25" i="8"/>
  <c r="AG25" i="8" s="1"/>
  <c r="AE25" i="8"/>
  <c r="AF25" i="8"/>
  <c r="AL25" i="8"/>
  <c r="AM25" i="8"/>
  <c r="D26" i="8"/>
  <c r="E26" i="8"/>
  <c r="O26" i="8"/>
  <c r="P26" i="8"/>
  <c r="Q26" i="8"/>
  <c r="X26" i="8" s="1"/>
  <c r="R26" i="8"/>
  <c r="S26" i="8"/>
  <c r="AD26" i="8"/>
  <c r="AG26" i="8" s="1"/>
  <c r="AE26" i="8"/>
  <c r="AF26" i="8"/>
  <c r="AL26" i="8"/>
  <c r="AM26" i="8"/>
  <c r="D27" i="8"/>
  <c r="E27" i="8"/>
  <c r="O27" i="8"/>
  <c r="P27" i="8"/>
  <c r="Q27" i="8"/>
  <c r="X27" i="8" s="1"/>
  <c r="R27" i="8"/>
  <c r="S27" i="8"/>
  <c r="AD27" i="8"/>
  <c r="AG27" i="8" s="1"/>
  <c r="AE27" i="8"/>
  <c r="AF27" i="8"/>
  <c r="AL27" i="8"/>
  <c r="AM27" i="8"/>
  <c r="D28" i="8"/>
  <c r="E28" i="8"/>
  <c r="O28" i="8"/>
  <c r="P28" i="8"/>
  <c r="Q28" i="8"/>
  <c r="X28" i="8" s="1"/>
  <c r="R28" i="8"/>
  <c r="S28" i="8"/>
  <c r="AD28" i="8"/>
  <c r="AG28" i="8" s="1"/>
  <c r="AE28" i="8"/>
  <c r="AF28" i="8"/>
  <c r="AL28" i="8"/>
  <c r="AM28" i="8"/>
  <c r="E29" i="8"/>
  <c r="O29" i="8"/>
  <c r="P29" i="8"/>
  <c r="Q29" i="8"/>
  <c r="X29" i="8" s="1"/>
  <c r="R29" i="8"/>
  <c r="S29" i="8"/>
  <c r="AD29" i="8"/>
  <c r="AG29" i="8" s="1"/>
  <c r="AE29" i="8"/>
  <c r="AF29" i="8"/>
  <c r="AL29" i="8"/>
  <c r="AM29" i="8"/>
  <c r="E30" i="8"/>
  <c r="O30" i="8"/>
  <c r="P30" i="8"/>
  <c r="Q30" i="8"/>
  <c r="X30" i="8" s="1"/>
  <c r="R30" i="8"/>
  <c r="S30" i="8"/>
  <c r="AD30" i="8"/>
  <c r="AG30" i="8" s="1"/>
  <c r="AE30" i="8"/>
  <c r="AF30" i="8"/>
  <c r="AL30" i="8"/>
  <c r="AM30" i="8"/>
  <c r="E31" i="8"/>
  <c r="O31" i="8"/>
  <c r="P31" i="8"/>
  <c r="Q31" i="8"/>
  <c r="X31" i="8" s="1"/>
  <c r="R31" i="8"/>
  <c r="S31" i="8"/>
  <c r="AD31" i="8"/>
  <c r="AG31" i="8" s="1"/>
  <c r="AE31" i="8"/>
  <c r="AF31" i="8"/>
  <c r="AL31" i="8"/>
  <c r="AM31" i="8"/>
  <c r="E32" i="8"/>
  <c r="O32" i="8"/>
  <c r="P32" i="8"/>
  <c r="Q32" i="8"/>
  <c r="X32" i="8" s="1"/>
  <c r="R32" i="8"/>
  <c r="S32" i="8"/>
  <c r="AD32" i="8"/>
  <c r="AG32" i="8" s="1"/>
  <c r="AE32" i="8"/>
  <c r="AF32" i="8"/>
  <c r="AL32" i="8"/>
  <c r="AM32" i="8"/>
  <c r="E33" i="8"/>
  <c r="O33" i="8"/>
  <c r="P33" i="8"/>
  <c r="Q33" i="8"/>
  <c r="X33" i="8" s="1"/>
  <c r="R33" i="8"/>
  <c r="S33" i="8"/>
  <c r="AD33" i="8"/>
  <c r="AG33" i="8" s="1"/>
  <c r="AE33" i="8"/>
  <c r="AF33" i="8"/>
  <c r="AL33" i="8"/>
  <c r="AM33" i="8"/>
  <c r="E34" i="8"/>
  <c r="O34" i="8"/>
  <c r="P34" i="8"/>
  <c r="Q34" i="8"/>
  <c r="X34" i="8" s="1"/>
  <c r="R34" i="8"/>
  <c r="S34" i="8"/>
  <c r="AD34" i="8"/>
  <c r="AG34" i="8" s="1"/>
  <c r="AE34" i="8"/>
  <c r="AF34" i="8"/>
  <c r="AL34" i="8"/>
  <c r="AM34" i="8"/>
  <c r="E35" i="8"/>
  <c r="O35" i="8"/>
  <c r="P35" i="8"/>
  <c r="Q35" i="8"/>
  <c r="X35" i="8" s="1"/>
  <c r="R35" i="8"/>
  <c r="S35" i="8"/>
  <c r="AD35" i="8"/>
  <c r="AG35" i="8" s="1"/>
  <c r="AE35" i="8"/>
  <c r="AF35" i="8"/>
  <c r="AL35" i="8"/>
  <c r="AM35" i="8"/>
  <c r="E36" i="8"/>
  <c r="O36" i="8"/>
  <c r="P36" i="8"/>
  <c r="Q36" i="8"/>
  <c r="X36" i="8" s="1"/>
  <c r="R36" i="8"/>
  <c r="S36" i="8"/>
  <c r="AD36" i="8"/>
  <c r="AG36" i="8" s="1"/>
  <c r="AE36" i="8"/>
  <c r="AF36" i="8"/>
  <c r="AL36" i="8"/>
  <c r="AM36" i="8"/>
  <c r="E37" i="8"/>
  <c r="O37" i="8"/>
  <c r="P37" i="8"/>
  <c r="Q37" i="8"/>
  <c r="X37" i="8" s="1"/>
  <c r="R37" i="8"/>
  <c r="S37" i="8"/>
  <c r="AD37" i="8"/>
  <c r="AG37" i="8" s="1"/>
  <c r="AE37" i="8"/>
  <c r="AF37" i="8"/>
  <c r="AL37" i="8"/>
  <c r="AM37" i="8"/>
  <c r="E38" i="8"/>
  <c r="O38" i="8"/>
  <c r="P38" i="8"/>
  <c r="Q38" i="8"/>
  <c r="X38" i="8" s="1"/>
  <c r="R38" i="8"/>
  <c r="S38" i="8"/>
  <c r="AD38" i="8"/>
  <c r="AG38" i="8" s="1"/>
  <c r="AE38" i="8"/>
  <c r="AF38" i="8"/>
  <c r="AL38" i="8"/>
  <c r="AM38" i="8"/>
  <c r="E39" i="8"/>
  <c r="O39" i="8"/>
  <c r="P39" i="8"/>
  <c r="Q39" i="8"/>
  <c r="X39" i="8" s="1"/>
  <c r="R39" i="8"/>
  <c r="S39" i="8"/>
  <c r="AD39" i="8"/>
  <c r="AG39" i="8" s="1"/>
  <c r="AE39" i="8"/>
  <c r="AF39" i="8"/>
  <c r="AL39" i="8"/>
  <c r="AM39" i="8"/>
  <c r="E40" i="8"/>
  <c r="O40" i="8"/>
  <c r="P40" i="8"/>
  <c r="Q40" i="8"/>
  <c r="X40" i="8" s="1"/>
  <c r="R40" i="8"/>
  <c r="S40" i="8"/>
  <c r="AD40" i="8"/>
  <c r="AG40" i="8" s="1"/>
  <c r="AE40" i="8"/>
  <c r="AF40" i="8"/>
  <c r="AL40" i="8"/>
  <c r="AM40" i="8"/>
  <c r="E41" i="8"/>
  <c r="O41" i="8"/>
  <c r="P41" i="8"/>
  <c r="Q41" i="8"/>
  <c r="X41" i="8" s="1"/>
  <c r="R41" i="8"/>
  <c r="S41" i="8"/>
  <c r="AD41" i="8"/>
  <c r="AG41" i="8" s="1"/>
  <c r="AE41" i="8"/>
  <c r="AF41" i="8"/>
  <c r="AL41" i="8"/>
  <c r="AM41" i="8"/>
  <c r="E42" i="8"/>
  <c r="O42" i="8"/>
  <c r="P42" i="8"/>
  <c r="Q42" i="8"/>
  <c r="X42" i="8" s="1"/>
  <c r="R42" i="8"/>
  <c r="S42" i="8"/>
  <c r="AD42" i="8"/>
  <c r="AG42" i="8" s="1"/>
  <c r="AE42" i="8"/>
  <c r="AF42" i="8"/>
  <c r="AL42" i="8"/>
  <c r="AM42" i="8"/>
  <c r="E43" i="8"/>
  <c r="O43" i="8"/>
  <c r="P43" i="8"/>
  <c r="Q43" i="8"/>
  <c r="X43" i="8" s="1"/>
  <c r="R43" i="8"/>
  <c r="S43" i="8"/>
  <c r="AD43" i="8"/>
  <c r="AG43" i="8" s="1"/>
  <c r="AE43" i="8"/>
  <c r="AF43" i="8"/>
  <c r="AL43" i="8"/>
  <c r="AM43" i="8"/>
  <c r="E44" i="8"/>
  <c r="O44" i="8"/>
  <c r="P44" i="8"/>
  <c r="Q44" i="8"/>
  <c r="X44" i="8" s="1"/>
  <c r="R44" i="8"/>
  <c r="S44" i="8"/>
  <c r="AD44" i="8"/>
  <c r="AG44" i="8" s="1"/>
  <c r="AE44" i="8"/>
  <c r="AF44" i="8"/>
  <c r="AL44" i="8"/>
  <c r="AM44" i="8"/>
  <c r="E45" i="8"/>
  <c r="O45" i="8"/>
  <c r="P45" i="8"/>
  <c r="Q45" i="8"/>
  <c r="X45" i="8" s="1"/>
  <c r="R45" i="8"/>
  <c r="S45" i="8"/>
  <c r="AD45" i="8"/>
  <c r="AG45" i="8" s="1"/>
  <c r="AE45" i="8"/>
  <c r="AF45" i="8"/>
  <c r="AL45" i="8"/>
  <c r="AM45" i="8"/>
  <c r="E46" i="8"/>
  <c r="O46" i="8"/>
  <c r="P46" i="8"/>
  <c r="Q46" i="8"/>
  <c r="X46" i="8" s="1"/>
  <c r="R46" i="8"/>
  <c r="S46" i="8"/>
  <c r="AD46" i="8"/>
  <c r="AG46" i="8" s="1"/>
  <c r="AE46" i="8"/>
  <c r="AF46" i="8"/>
  <c r="AL46" i="8"/>
  <c r="AM46" i="8"/>
  <c r="E47" i="8"/>
  <c r="O47" i="8"/>
  <c r="P47" i="8"/>
  <c r="Q47" i="8"/>
  <c r="X47" i="8" s="1"/>
  <c r="R47" i="8"/>
  <c r="S47" i="8"/>
  <c r="AD47" i="8"/>
  <c r="AG47" i="8" s="1"/>
  <c r="AE47" i="8"/>
  <c r="AF47" i="8"/>
  <c r="AL47" i="8"/>
  <c r="AM47" i="8"/>
  <c r="E48" i="8"/>
  <c r="O48" i="8"/>
  <c r="P48" i="8"/>
  <c r="Q48" i="8"/>
  <c r="X48" i="8" s="1"/>
  <c r="R48" i="8"/>
  <c r="S48" i="8"/>
  <c r="AD48" i="8"/>
  <c r="AG48" i="8" s="1"/>
  <c r="AE48" i="8"/>
  <c r="AF48" i="8"/>
  <c r="AL48" i="8"/>
  <c r="AM48" i="8"/>
  <c r="E49" i="8"/>
  <c r="O49" i="8"/>
  <c r="P49" i="8"/>
  <c r="Q49" i="8"/>
  <c r="X49" i="8" s="1"/>
  <c r="R49" i="8"/>
  <c r="S49" i="8"/>
  <c r="AD49" i="8"/>
  <c r="AG49" i="8" s="1"/>
  <c r="AE49" i="8"/>
  <c r="AF49" i="8"/>
  <c r="AL49" i="8"/>
  <c r="AM49" i="8"/>
  <c r="E50" i="8"/>
  <c r="E51" i="8"/>
  <c r="E52" i="8"/>
  <c r="E53" i="8"/>
  <c r="E54" i="8"/>
  <c r="E55" i="8"/>
  <c r="E56" i="8"/>
  <c r="E57" i="8"/>
  <c r="E58" i="8"/>
  <c r="E59" i="8"/>
  <c r="E60" i="8"/>
  <c r="E61" i="8"/>
  <c r="E62" i="8"/>
  <c r="E63" i="8"/>
  <c r="E64" i="8"/>
  <c r="E65" i="8"/>
  <c r="E66" i="8"/>
  <c r="E67" i="8"/>
  <c r="E68" i="8"/>
  <c r="E69" i="8"/>
  <c r="E70" i="8"/>
  <c r="AM70" i="8"/>
  <c r="AL70" i="8"/>
  <c r="AF70" i="8"/>
  <c r="AE70" i="8"/>
  <c r="AD70" i="8"/>
  <c r="AG70" i="8" s="1"/>
  <c r="S70" i="8"/>
  <c r="R70" i="8"/>
  <c r="Q70" i="8"/>
  <c r="X70" i="8" s="1"/>
  <c r="P70" i="8"/>
  <c r="O70" i="8"/>
  <c r="AM69" i="8"/>
  <c r="AL69" i="8"/>
  <c r="AF69" i="8"/>
  <c r="AE69" i="8"/>
  <c r="AD69" i="8"/>
  <c r="AG69" i="8" s="1"/>
  <c r="S69" i="8"/>
  <c r="R69" i="8"/>
  <c r="Q69" i="8"/>
  <c r="X69" i="8" s="1"/>
  <c r="P69" i="8"/>
  <c r="O69" i="8"/>
  <c r="AM68" i="8"/>
  <c r="AL68" i="8"/>
  <c r="AF68" i="8"/>
  <c r="AE68" i="8"/>
  <c r="AD68" i="8"/>
  <c r="AG68" i="8" s="1"/>
  <c r="S68" i="8"/>
  <c r="R68" i="8"/>
  <c r="Q68" i="8"/>
  <c r="X68" i="8" s="1"/>
  <c r="P68" i="8"/>
  <c r="O68" i="8"/>
  <c r="AM67" i="8"/>
  <c r="AL67" i="8"/>
  <c r="AF67" i="8"/>
  <c r="AE67" i="8"/>
  <c r="AD67" i="8"/>
  <c r="AG67" i="8" s="1"/>
  <c r="S67" i="8"/>
  <c r="R67" i="8"/>
  <c r="Q67" i="8"/>
  <c r="X67" i="8" s="1"/>
  <c r="P67" i="8"/>
  <c r="O67" i="8"/>
  <c r="AM66" i="8"/>
  <c r="AL66" i="8"/>
  <c r="AF66" i="8"/>
  <c r="AE66" i="8"/>
  <c r="AD66" i="8"/>
  <c r="AG66" i="8" s="1"/>
  <c r="S66" i="8"/>
  <c r="R66" i="8"/>
  <c r="Q66" i="8"/>
  <c r="X66" i="8" s="1"/>
  <c r="P66" i="8"/>
  <c r="O66" i="8"/>
  <c r="AM65" i="8"/>
  <c r="AL65" i="8"/>
  <c r="AF65" i="8"/>
  <c r="AE65" i="8"/>
  <c r="AD65" i="8"/>
  <c r="AG65" i="8" s="1"/>
  <c r="S65" i="8"/>
  <c r="R65" i="8"/>
  <c r="Q65" i="8"/>
  <c r="X65" i="8" s="1"/>
  <c r="P65" i="8"/>
  <c r="O65" i="8"/>
  <c r="AM64" i="8"/>
  <c r="AL64" i="8"/>
  <c r="AF64" i="8"/>
  <c r="AE64" i="8"/>
  <c r="AD64" i="8"/>
  <c r="AG64" i="8" s="1"/>
  <c r="S64" i="8"/>
  <c r="R64" i="8"/>
  <c r="Q64" i="8"/>
  <c r="X64" i="8" s="1"/>
  <c r="P64" i="8"/>
  <c r="O64" i="8"/>
  <c r="AM63" i="8"/>
  <c r="AL63" i="8"/>
  <c r="AF63" i="8"/>
  <c r="AE63" i="8"/>
  <c r="AD63" i="8"/>
  <c r="AG63" i="8" s="1"/>
  <c r="S63" i="8"/>
  <c r="R63" i="8"/>
  <c r="Q63" i="8"/>
  <c r="X63" i="8" s="1"/>
  <c r="P63" i="8"/>
  <c r="O63" i="8"/>
  <c r="AM62" i="8"/>
  <c r="AL62" i="8"/>
  <c r="AF62" i="8"/>
  <c r="AE62" i="8"/>
  <c r="AD62" i="8"/>
  <c r="AG62" i="8" s="1"/>
  <c r="S62" i="8"/>
  <c r="R62" i="8"/>
  <c r="Q62" i="8"/>
  <c r="X62" i="8" s="1"/>
  <c r="P62" i="8"/>
  <c r="O62" i="8"/>
  <c r="AM61" i="8"/>
  <c r="AL61" i="8"/>
  <c r="AF61" i="8"/>
  <c r="AE61" i="8"/>
  <c r="AD61" i="8"/>
  <c r="AG61" i="8" s="1"/>
  <c r="S61" i="8"/>
  <c r="R61" i="8"/>
  <c r="Q61" i="8"/>
  <c r="X61" i="8" s="1"/>
  <c r="P61" i="8"/>
  <c r="O61" i="8"/>
  <c r="AM60" i="8"/>
  <c r="AL60" i="8"/>
  <c r="AF60" i="8"/>
  <c r="AE60" i="8"/>
  <c r="AD60" i="8"/>
  <c r="AG60" i="8" s="1"/>
  <c r="S60" i="8"/>
  <c r="R60" i="8"/>
  <c r="Q60" i="8"/>
  <c r="X60" i="8" s="1"/>
  <c r="P60" i="8"/>
  <c r="O60" i="8"/>
  <c r="AM59" i="8"/>
  <c r="AL59" i="8"/>
  <c r="AF59" i="8"/>
  <c r="AE59" i="8"/>
  <c r="AD59" i="8"/>
  <c r="AG59" i="8" s="1"/>
  <c r="S59" i="8"/>
  <c r="R59" i="8"/>
  <c r="Q59" i="8"/>
  <c r="X59" i="8" s="1"/>
  <c r="P59" i="8"/>
  <c r="O59" i="8"/>
  <c r="AM58" i="8"/>
  <c r="AL58" i="8"/>
  <c r="AF58" i="8"/>
  <c r="AE58" i="8"/>
  <c r="AD58" i="8"/>
  <c r="AG58" i="8" s="1"/>
  <c r="S58" i="8"/>
  <c r="R58" i="8"/>
  <c r="Q58" i="8"/>
  <c r="X58" i="8" s="1"/>
  <c r="P58" i="8"/>
  <c r="O58" i="8"/>
  <c r="AM57" i="8"/>
  <c r="AL57" i="8"/>
  <c r="AF57" i="8"/>
  <c r="AE57" i="8"/>
  <c r="AD57" i="8"/>
  <c r="AG57" i="8" s="1"/>
  <c r="S57" i="8"/>
  <c r="R57" i="8"/>
  <c r="Q57" i="8"/>
  <c r="X57" i="8" s="1"/>
  <c r="P57" i="8"/>
  <c r="O57" i="8"/>
  <c r="AM56" i="8"/>
  <c r="AL56" i="8"/>
  <c r="AF56" i="8"/>
  <c r="AE56" i="8"/>
  <c r="AD56" i="8"/>
  <c r="AG56" i="8" s="1"/>
  <c r="S56" i="8"/>
  <c r="R56" i="8"/>
  <c r="Q56" i="8"/>
  <c r="X56" i="8" s="1"/>
  <c r="P56" i="8"/>
  <c r="O56" i="8"/>
  <c r="AM55" i="8"/>
  <c r="AL55" i="8"/>
  <c r="AF55" i="8"/>
  <c r="AE55" i="8"/>
  <c r="AD55" i="8"/>
  <c r="AG55" i="8" s="1"/>
  <c r="S55" i="8"/>
  <c r="R55" i="8"/>
  <c r="Q55" i="8"/>
  <c r="X55" i="8" s="1"/>
  <c r="P55" i="8"/>
  <c r="O55" i="8"/>
  <c r="AM54" i="8"/>
  <c r="AL54" i="8"/>
  <c r="AF54" i="8"/>
  <c r="AE54" i="8"/>
  <c r="AD54" i="8"/>
  <c r="AG54" i="8" s="1"/>
  <c r="S54" i="8"/>
  <c r="R54" i="8"/>
  <c r="Q54" i="8"/>
  <c r="X54" i="8" s="1"/>
  <c r="P54" i="8"/>
  <c r="O54" i="8"/>
  <c r="AM53" i="8"/>
  <c r="AL53" i="8"/>
  <c r="AF53" i="8"/>
  <c r="AE53" i="8"/>
  <c r="AD53" i="8"/>
  <c r="AG53" i="8" s="1"/>
  <c r="S53" i="8"/>
  <c r="R53" i="8"/>
  <c r="Q53" i="8"/>
  <c r="X53" i="8" s="1"/>
  <c r="P53" i="8"/>
  <c r="O53" i="8"/>
  <c r="AM52" i="8"/>
  <c r="AL52" i="8"/>
  <c r="AF52" i="8"/>
  <c r="AE52" i="8"/>
  <c r="AD52" i="8"/>
  <c r="AG52" i="8" s="1"/>
  <c r="S52" i="8"/>
  <c r="R52" i="8"/>
  <c r="Q52" i="8"/>
  <c r="X52" i="8" s="1"/>
  <c r="P52" i="8"/>
  <c r="O52" i="8"/>
  <c r="AM51" i="8"/>
  <c r="AL51" i="8"/>
  <c r="AF51" i="8"/>
  <c r="AE51" i="8"/>
  <c r="AD51" i="8"/>
  <c r="AG51" i="8" s="1"/>
  <c r="S51" i="8"/>
  <c r="R51" i="8"/>
  <c r="Q51" i="8"/>
  <c r="X51" i="8" s="1"/>
  <c r="P51" i="8"/>
  <c r="O51" i="8"/>
  <c r="AM50" i="8"/>
  <c r="AL50" i="8"/>
  <c r="AF50" i="8"/>
  <c r="AE50" i="8"/>
  <c r="AD50" i="8"/>
  <c r="AG50" i="8" s="1"/>
  <c r="R50" i="8"/>
  <c r="P50" i="8"/>
  <c r="O50" i="8"/>
  <c r="AM7" i="8"/>
  <c r="AY9" i="3"/>
  <c r="AY10" i="3"/>
  <c r="AY11" i="3"/>
  <c r="AY12" i="3"/>
  <c r="AY13" i="3"/>
  <c r="AY14" i="3"/>
  <c r="AY15" i="3"/>
  <c r="AY16" i="3"/>
  <c r="AY17" i="3"/>
  <c r="AY18" i="3"/>
  <c r="AY19" i="3"/>
  <c r="AY20" i="3"/>
  <c r="AY21" i="3"/>
  <c r="AY22" i="3"/>
  <c r="AY23" i="3"/>
  <c r="AY24" i="3"/>
  <c r="AY25" i="3"/>
  <c r="AY26" i="3"/>
  <c r="AY27" i="3"/>
  <c r="AY28" i="3"/>
  <c r="AY29" i="3"/>
  <c r="AY30" i="3"/>
  <c r="AY31" i="3"/>
  <c r="AY32" i="3"/>
  <c r="AY33" i="3"/>
  <c r="AY34" i="3"/>
  <c r="AY35" i="3"/>
  <c r="AY36" i="3"/>
  <c r="AY37" i="3"/>
  <c r="AY38" i="3"/>
  <c r="AY39" i="3"/>
  <c r="AY40" i="3"/>
  <c r="AY41" i="3"/>
  <c r="AY42" i="3"/>
  <c r="AY43" i="3"/>
  <c r="AY44" i="3"/>
  <c r="AY45" i="3"/>
  <c r="AY46" i="3"/>
  <c r="AY47" i="3"/>
  <c r="AY48" i="3"/>
  <c r="AY49" i="3"/>
  <c r="AY50" i="3"/>
  <c r="AY51" i="3"/>
  <c r="AY52" i="3"/>
  <c r="AY53" i="3"/>
  <c r="AY54" i="3"/>
  <c r="AY55" i="3"/>
  <c r="AY56" i="3"/>
  <c r="AY57" i="3"/>
  <c r="AY58" i="3"/>
  <c r="AY59" i="3"/>
  <c r="AY60" i="3"/>
  <c r="AY61" i="3"/>
  <c r="AY62" i="3"/>
  <c r="AY63" i="3"/>
  <c r="AY64" i="3"/>
  <c r="AY65" i="3"/>
  <c r="AY66" i="3"/>
  <c r="AY67" i="3"/>
  <c r="AY68" i="3"/>
  <c r="AY69" i="3"/>
  <c r="AY70" i="3"/>
  <c r="AY71" i="3"/>
  <c r="AY72" i="3"/>
  <c r="AY73" i="3"/>
  <c r="AY74" i="3"/>
  <c r="AY75" i="3"/>
  <c r="AY76" i="3"/>
  <c r="AY77" i="3"/>
  <c r="AY78" i="3"/>
  <c r="AY79" i="3"/>
  <c r="AY80" i="3"/>
  <c r="AY81" i="3"/>
  <c r="AY82" i="3"/>
  <c r="AY83" i="3"/>
  <c r="AY84" i="3"/>
  <c r="AY85" i="3"/>
  <c r="AY86" i="3"/>
  <c r="AY87" i="3"/>
  <c r="AY88" i="3"/>
  <c r="AY89" i="3"/>
  <c r="AY90" i="3"/>
  <c r="AY91" i="3"/>
  <c r="AY92" i="3"/>
  <c r="AY93" i="3"/>
  <c r="AY94" i="3"/>
  <c r="AY8" i="3"/>
  <c r="AX9" i="3"/>
  <c r="AX10" i="3"/>
  <c r="AX11" i="3"/>
  <c r="AX12" i="3"/>
  <c r="AX13" i="3"/>
  <c r="AX14" i="3"/>
  <c r="AX15" i="3"/>
  <c r="AX16" i="3"/>
  <c r="AX17" i="3"/>
  <c r="AX18" i="3"/>
  <c r="AX19" i="3"/>
  <c r="AX20" i="3"/>
  <c r="AX21" i="3"/>
  <c r="AX22" i="3"/>
  <c r="AX23" i="3"/>
  <c r="AX24" i="3"/>
  <c r="AX25" i="3"/>
  <c r="AX26" i="3"/>
  <c r="AX27" i="3"/>
  <c r="AX28" i="3"/>
  <c r="AX29" i="3"/>
  <c r="AX30" i="3"/>
  <c r="AX31" i="3"/>
  <c r="AX32" i="3"/>
  <c r="AX33" i="3"/>
  <c r="AX34" i="3"/>
  <c r="AX35" i="3"/>
  <c r="AX36" i="3"/>
  <c r="AX37" i="3"/>
  <c r="AX38" i="3"/>
  <c r="AX39" i="3"/>
  <c r="AX40" i="3"/>
  <c r="AX41" i="3"/>
  <c r="AX42" i="3"/>
  <c r="AX43" i="3"/>
  <c r="AX44" i="3"/>
  <c r="AX45" i="3"/>
  <c r="AX46" i="3"/>
  <c r="AX47" i="3"/>
  <c r="AX48" i="3"/>
  <c r="AX49" i="3"/>
  <c r="AX50" i="3"/>
  <c r="AX51" i="3"/>
  <c r="AX52" i="3"/>
  <c r="AX53" i="3"/>
  <c r="AX54" i="3"/>
  <c r="AX55" i="3"/>
  <c r="AX56" i="3"/>
  <c r="AX57" i="3"/>
  <c r="AX58" i="3"/>
  <c r="AX59" i="3"/>
  <c r="AX60" i="3"/>
  <c r="AX61" i="3"/>
  <c r="AX62" i="3"/>
  <c r="AX63" i="3"/>
  <c r="AX64" i="3"/>
  <c r="AX65" i="3"/>
  <c r="AX66" i="3"/>
  <c r="AX67" i="3"/>
  <c r="AX68" i="3"/>
  <c r="AX69" i="3"/>
  <c r="AX70" i="3"/>
  <c r="AX71" i="3"/>
  <c r="AX72" i="3"/>
  <c r="AX73" i="3"/>
  <c r="AX74" i="3"/>
  <c r="AX75" i="3"/>
  <c r="AX76" i="3"/>
  <c r="AX77" i="3"/>
  <c r="AX78" i="3"/>
  <c r="AX79" i="3"/>
  <c r="AX80" i="3"/>
  <c r="AX81" i="3"/>
  <c r="AX82" i="3"/>
  <c r="AX83" i="3"/>
  <c r="AX84" i="3"/>
  <c r="AX85" i="3"/>
  <c r="AX86" i="3"/>
  <c r="AX87" i="3"/>
  <c r="AX88" i="3"/>
  <c r="AX89" i="3"/>
  <c r="AX90" i="3"/>
  <c r="AX91" i="3"/>
  <c r="AX92" i="3"/>
  <c r="AX93" i="3"/>
  <c r="AX94" i="3"/>
  <c r="AX8" i="3"/>
  <c r="AW9" i="3"/>
  <c r="AW10" i="3"/>
  <c r="AW11" i="3"/>
  <c r="AW12" i="3"/>
  <c r="AW13" i="3"/>
  <c r="AW14" i="3"/>
  <c r="AW15" i="3"/>
  <c r="AW16" i="3"/>
  <c r="AW17" i="3"/>
  <c r="AW18" i="3"/>
  <c r="AW19" i="3"/>
  <c r="AW20" i="3"/>
  <c r="AW21" i="3"/>
  <c r="AW22" i="3"/>
  <c r="AW23" i="3"/>
  <c r="AW24" i="3"/>
  <c r="AW25" i="3"/>
  <c r="AW26" i="3"/>
  <c r="AW27" i="3"/>
  <c r="AW28" i="3"/>
  <c r="AW29" i="3"/>
  <c r="AW30" i="3"/>
  <c r="AW31" i="3"/>
  <c r="AW32" i="3"/>
  <c r="AW33" i="3"/>
  <c r="AW34" i="3"/>
  <c r="AW35" i="3"/>
  <c r="AW36" i="3"/>
  <c r="AW37" i="3"/>
  <c r="AW38" i="3"/>
  <c r="AW39" i="3"/>
  <c r="AW40" i="3"/>
  <c r="AW41" i="3"/>
  <c r="AW42" i="3"/>
  <c r="AW43" i="3"/>
  <c r="AW44" i="3"/>
  <c r="AW45" i="3"/>
  <c r="AW46" i="3"/>
  <c r="AW47" i="3"/>
  <c r="AW48" i="3"/>
  <c r="AW49" i="3"/>
  <c r="AW50" i="3"/>
  <c r="AW51" i="3"/>
  <c r="AW52" i="3"/>
  <c r="AW53" i="3"/>
  <c r="AW54" i="3"/>
  <c r="AW55" i="3"/>
  <c r="AW56" i="3"/>
  <c r="AW57" i="3"/>
  <c r="AW58" i="3"/>
  <c r="AW59" i="3"/>
  <c r="AW60" i="3"/>
  <c r="AW61" i="3"/>
  <c r="AW62" i="3"/>
  <c r="AW63" i="3"/>
  <c r="AW64" i="3"/>
  <c r="AW65" i="3"/>
  <c r="AW66" i="3"/>
  <c r="AW67" i="3"/>
  <c r="AW68" i="3"/>
  <c r="AW69" i="3"/>
  <c r="AW70" i="3"/>
  <c r="AW71" i="3"/>
  <c r="AW72" i="3"/>
  <c r="AW73" i="3"/>
  <c r="AW74" i="3"/>
  <c r="AW75" i="3"/>
  <c r="AW76" i="3"/>
  <c r="AW77" i="3"/>
  <c r="AW78" i="3"/>
  <c r="AW79" i="3"/>
  <c r="AW80" i="3"/>
  <c r="AW81" i="3"/>
  <c r="AW82" i="3"/>
  <c r="AW83" i="3"/>
  <c r="AW84" i="3"/>
  <c r="AW85" i="3"/>
  <c r="AW86" i="3"/>
  <c r="AW87" i="3"/>
  <c r="AW88" i="3"/>
  <c r="AW89" i="3"/>
  <c r="AW90" i="3"/>
  <c r="AW91" i="3"/>
  <c r="AW92" i="3"/>
  <c r="AW93" i="3"/>
  <c r="AW94" i="3"/>
  <c r="AW8" i="3"/>
  <c r="AV9" i="3"/>
  <c r="AV10" i="3"/>
  <c r="AV11" i="3"/>
  <c r="AV12" i="3"/>
  <c r="AV13" i="3"/>
  <c r="AV14" i="3"/>
  <c r="AV15" i="3"/>
  <c r="AV16" i="3"/>
  <c r="AV17" i="3"/>
  <c r="AV18" i="3"/>
  <c r="AV19" i="3"/>
  <c r="AV20" i="3"/>
  <c r="AV21" i="3"/>
  <c r="AV22" i="3"/>
  <c r="AV23" i="3"/>
  <c r="AV24" i="3"/>
  <c r="AV25" i="3"/>
  <c r="AV26" i="3"/>
  <c r="AV27" i="3"/>
  <c r="AV28" i="3"/>
  <c r="AV29" i="3"/>
  <c r="AV30" i="3"/>
  <c r="AV31" i="3"/>
  <c r="AV32" i="3"/>
  <c r="AV33" i="3"/>
  <c r="AV34" i="3"/>
  <c r="AV35" i="3"/>
  <c r="AV36" i="3"/>
  <c r="AV37" i="3"/>
  <c r="AV38" i="3"/>
  <c r="AV39" i="3"/>
  <c r="AV40" i="3"/>
  <c r="AV41" i="3"/>
  <c r="AV42" i="3"/>
  <c r="AV43" i="3"/>
  <c r="AV44" i="3"/>
  <c r="AV45" i="3"/>
  <c r="AV46" i="3"/>
  <c r="AV47" i="3"/>
  <c r="AV48" i="3"/>
  <c r="AV49" i="3"/>
  <c r="AV50" i="3"/>
  <c r="AV51" i="3"/>
  <c r="AV52" i="3"/>
  <c r="AV53" i="3"/>
  <c r="AV54" i="3"/>
  <c r="AV55" i="3"/>
  <c r="AV56" i="3"/>
  <c r="AV57" i="3"/>
  <c r="AV58" i="3"/>
  <c r="AV59" i="3"/>
  <c r="AV60" i="3"/>
  <c r="AV61" i="3"/>
  <c r="AV62" i="3"/>
  <c r="AV63" i="3"/>
  <c r="AV64" i="3"/>
  <c r="AV65" i="3"/>
  <c r="AV66" i="3"/>
  <c r="AV67" i="3"/>
  <c r="AV68" i="3"/>
  <c r="AV69" i="3"/>
  <c r="AV70" i="3"/>
  <c r="AV71" i="3"/>
  <c r="AV72" i="3"/>
  <c r="AV73" i="3"/>
  <c r="AV74" i="3"/>
  <c r="AV75" i="3"/>
  <c r="AV76" i="3"/>
  <c r="AV77" i="3"/>
  <c r="AV78" i="3"/>
  <c r="AV79" i="3"/>
  <c r="AV80" i="3"/>
  <c r="AV81" i="3"/>
  <c r="AV82" i="3"/>
  <c r="AV83" i="3"/>
  <c r="AV84" i="3"/>
  <c r="AV85" i="3"/>
  <c r="AV86" i="3"/>
  <c r="AV87" i="3"/>
  <c r="AV88" i="3"/>
  <c r="AV89" i="3"/>
  <c r="AV90" i="3"/>
  <c r="AV91" i="3"/>
  <c r="AV92" i="3"/>
  <c r="AV93" i="3"/>
  <c r="AV94" i="3"/>
  <c r="AV8" i="3"/>
  <c r="AU9" i="3"/>
  <c r="AU10" i="3"/>
  <c r="AU11" i="3"/>
  <c r="AU12" i="3"/>
  <c r="AU13" i="3"/>
  <c r="AU14" i="3"/>
  <c r="AU15" i="3"/>
  <c r="AU16" i="3"/>
  <c r="AU17" i="3"/>
  <c r="AU18" i="3"/>
  <c r="AU19" i="3"/>
  <c r="AU20" i="3"/>
  <c r="AU21" i="3"/>
  <c r="AU22" i="3"/>
  <c r="AU23" i="3"/>
  <c r="AU24" i="3"/>
  <c r="AU25" i="3"/>
  <c r="AU26" i="3"/>
  <c r="AU27" i="3"/>
  <c r="AU28" i="3"/>
  <c r="AU29" i="3"/>
  <c r="AU30" i="3"/>
  <c r="AU31" i="3"/>
  <c r="AU32" i="3"/>
  <c r="AU33" i="3"/>
  <c r="AU34" i="3"/>
  <c r="AU35" i="3"/>
  <c r="AU36" i="3"/>
  <c r="AU37" i="3"/>
  <c r="AU38" i="3"/>
  <c r="AU39" i="3"/>
  <c r="AU40" i="3"/>
  <c r="AU41" i="3"/>
  <c r="AU42" i="3"/>
  <c r="AU43" i="3"/>
  <c r="AU44" i="3"/>
  <c r="AU45" i="3"/>
  <c r="AU46" i="3"/>
  <c r="AU47" i="3"/>
  <c r="AU48" i="3"/>
  <c r="AU49" i="3"/>
  <c r="AU50" i="3"/>
  <c r="AU51" i="3"/>
  <c r="AU52" i="3"/>
  <c r="AU53" i="3"/>
  <c r="AU54" i="3"/>
  <c r="AU55" i="3"/>
  <c r="AU56" i="3"/>
  <c r="AU57" i="3"/>
  <c r="AU58" i="3"/>
  <c r="AU59" i="3"/>
  <c r="AU60" i="3"/>
  <c r="AU61" i="3"/>
  <c r="AU62" i="3"/>
  <c r="AU63" i="3"/>
  <c r="AU64" i="3"/>
  <c r="AU65" i="3"/>
  <c r="AU66" i="3"/>
  <c r="AU67" i="3"/>
  <c r="AU68" i="3"/>
  <c r="AU69" i="3"/>
  <c r="AU70" i="3"/>
  <c r="AU71" i="3"/>
  <c r="AU72" i="3"/>
  <c r="AU73" i="3"/>
  <c r="AU74" i="3"/>
  <c r="AU75" i="3"/>
  <c r="AU76" i="3"/>
  <c r="AU77" i="3"/>
  <c r="AU78" i="3"/>
  <c r="AU79" i="3"/>
  <c r="AU80" i="3"/>
  <c r="AU81" i="3"/>
  <c r="AU82" i="3"/>
  <c r="AU83" i="3"/>
  <c r="AU84" i="3"/>
  <c r="AU85" i="3"/>
  <c r="AU86" i="3"/>
  <c r="AU87" i="3"/>
  <c r="AU88" i="3"/>
  <c r="AU89" i="3"/>
  <c r="AU90" i="3"/>
  <c r="AU91" i="3"/>
  <c r="AU92" i="3"/>
  <c r="AU93" i="3"/>
  <c r="AU94" i="3"/>
  <c r="AU8" i="3"/>
  <c r="AT9" i="3"/>
  <c r="AT10" i="3"/>
  <c r="AT11" i="3"/>
  <c r="AT12" i="3"/>
  <c r="AT13" i="3"/>
  <c r="AT14" i="3"/>
  <c r="AT15" i="3"/>
  <c r="AT16" i="3"/>
  <c r="AT17" i="3"/>
  <c r="AT18" i="3"/>
  <c r="AT19" i="3"/>
  <c r="AT20" i="3"/>
  <c r="AT21" i="3"/>
  <c r="AT22" i="3"/>
  <c r="AT23" i="3"/>
  <c r="AT24" i="3"/>
  <c r="AT25" i="3"/>
  <c r="AT26" i="3"/>
  <c r="AT27" i="3"/>
  <c r="AT28" i="3"/>
  <c r="AT29" i="3"/>
  <c r="AT30" i="3"/>
  <c r="AT31" i="3"/>
  <c r="AT32" i="3"/>
  <c r="AT33" i="3"/>
  <c r="AT34" i="3"/>
  <c r="AT35" i="3"/>
  <c r="AT36" i="3"/>
  <c r="AT37" i="3"/>
  <c r="AT38" i="3"/>
  <c r="AT39" i="3"/>
  <c r="AT40" i="3"/>
  <c r="AT41" i="3"/>
  <c r="AT42" i="3"/>
  <c r="AT43" i="3"/>
  <c r="AT44" i="3"/>
  <c r="AT45" i="3"/>
  <c r="AT46" i="3"/>
  <c r="AT47" i="3"/>
  <c r="AT48" i="3"/>
  <c r="AT49" i="3"/>
  <c r="AT50" i="3"/>
  <c r="AT51" i="3"/>
  <c r="AT52" i="3"/>
  <c r="AT53" i="3"/>
  <c r="AT54" i="3"/>
  <c r="AT55" i="3"/>
  <c r="AT56" i="3"/>
  <c r="AT57" i="3"/>
  <c r="AT58" i="3"/>
  <c r="AT59" i="3"/>
  <c r="AT60" i="3"/>
  <c r="AT61" i="3"/>
  <c r="AT62" i="3"/>
  <c r="AT63" i="3"/>
  <c r="AT64" i="3"/>
  <c r="AT65" i="3"/>
  <c r="AT66" i="3"/>
  <c r="AT67" i="3"/>
  <c r="AT68" i="3"/>
  <c r="AT69" i="3"/>
  <c r="AT70" i="3"/>
  <c r="AT71" i="3"/>
  <c r="AT72" i="3"/>
  <c r="AT73" i="3"/>
  <c r="AT74" i="3"/>
  <c r="AT75" i="3"/>
  <c r="AT76" i="3"/>
  <c r="AT77" i="3"/>
  <c r="AT78" i="3"/>
  <c r="AT79" i="3"/>
  <c r="AT80" i="3"/>
  <c r="AT81" i="3"/>
  <c r="AT82" i="3"/>
  <c r="AT83" i="3"/>
  <c r="AT84" i="3"/>
  <c r="AT85" i="3"/>
  <c r="AT86" i="3"/>
  <c r="AT87" i="3"/>
  <c r="AT88" i="3"/>
  <c r="AT89" i="3"/>
  <c r="AT90" i="3"/>
  <c r="AT91" i="3"/>
  <c r="AT92" i="3"/>
  <c r="AT93" i="3"/>
  <c r="AT94" i="3"/>
  <c r="AT8" i="3"/>
  <c r="AS9" i="3"/>
  <c r="AS10" i="3"/>
  <c r="AS11" i="3"/>
  <c r="AS12" i="3"/>
  <c r="AS13" i="3"/>
  <c r="AS14" i="3"/>
  <c r="AS15" i="3"/>
  <c r="AS16" i="3"/>
  <c r="AS17" i="3"/>
  <c r="AS18" i="3"/>
  <c r="AS19" i="3"/>
  <c r="AS20" i="3"/>
  <c r="AS21" i="3"/>
  <c r="AS22" i="3"/>
  <c r="AS23" i="3"/>
  <c r="AS24" i="3"/>
  <c r="AS25" i="3"/>
  <c r="AS26" i="3"/>
  <c r="AS27" i="3"/>
  <c r="AS28" i="3"/>
  <c r="AS29" i="3"/>
  <c r="AS30" i="3"/>
  <c r="AS31" i="3"/>
  <c r="AS32" i="3"/>
  <c r="AS33" i="3"/>
  <c r="AS34" i="3"/>
  <c r="AS35" i="3"/>
  <c r="AS36" i="3"/>
  <c r="AS37" i="3"/>
  <c r="AS38" i="3"/>
  <c r="AS39" i="3"/>
  <c r="AS40" i="3"/>
  <c r="AS41" i="3"/>
  <c r="AS42" i="3"/>
  <c r="AS43" i="3"/>
  <c r="AS44" i="3"/>
  <c r="AS45" i="3"/>
  <c r="AS46" i="3"/>
  <c r="AS47" i="3"/>
  <c r="AS48" i="3"/>
  <c r="AS49" i="3"/>
  <c r="AS50" i="3"/>
  <c r="AS51" i="3"/>
  <c r="AS52" i="3"/>
  <c r="AS53" i="3"/>
  <c r="AS54" i="3"/>
  <c r="AS55" i="3"/>
  <c r="AS56" i="3"/>
  <c r="AS57" i="3"/>
  <c r="AS58" i="3"/>
  <c r="AS59" i="3"/>
  <c r="AS60" i="3"/>
  <c r="AS61" i="3"/>
  <c r="AS62" i="3"/>
  <c r="AS63" i="3"/>
  <c r="AS64" i="3"/>
  <c r="AS65" i="3"/>
  <c r="AS66" i="3"/>
  <c r="AS67" i="3"/>
  <c r="AS68" i="3"/>
  <c r="AS69" i="3"/>
  <c r="AS70" i="3"/>
  <c r="AS71" i="3"/>
  <c r="AS72" i="3"/>
  <c r="AS73" i="3"/>
  <c r="AS74" i="3"/>
  <c r="AS75" i="3"/>
  <c r="AS76" i="3"/>
  <c r="AS77" i="3"/>
  <c r="AS78" i="3"/>
  <c r="AS79" i="3"/>
  <c r="AS80" i="3"/>
  <c r="AS81" i="3"/>
  <c r="AS82" i="3"/>
  <c r="AS83" i="3"/>
  <c r="AS84" i="3"/>
  <c r="AS85" i="3"/>
  <c r="AS86" i="3"/>
  <c r="AS87" i="3"/>
  <c r="AS88" i="3"/>
  <c r="AS89" i="3"/>
  <c r="AS90" i="3"/>
  <c r="AS91" i="3"/>
  <c r="AS92" i="3"/>
  <c r="AS93" i="3"/>
  <c r="AS94" i="3"/>
  <c r="AS8" i="3"/>
  <c r="AR9" i="3"/>
  <c r="AR10" i="3"/>
  <c r="AR11" i="3"/>
  <c r="AR12" i="3"/>
  <c r="AR13" i="3"/>
  <c r="AR14" i="3"/>
  <c r="AR15" i="3"/>
  <c r="AR16" i="3"/>
  <c r="AR17" i="3"/>
  <c r="AR18" i="3"/>
  <c r="AR19" i="3"/>
  <c r="AR20" i="3"/>
  <c r="AR21" i="3"/>
  <c r="AR22" i="3"/>
  <c r="AR23" i="3"/>
  <c r="AR24" i="3"/>
  <c r="AR25" i="3"/>
  <c r="AR26" i="3"/>
  <c r="AR27" i="3"/>
  <c r="AR28" i="3"/>
  <c r="AR29" i="3"/>
  <c r="AR30" i="3"/>
  <c r="AR31" i="3"/>
  <c r="AR32" i="3"/>
  <c r="AR33" i="3"/>
  <c r="AR34" i="3"/>
  <c r="AR35" i="3"/>
  <c r="AR36" i="3"/>
  <c r="AR37" i="3"/>
  <c r="AR38" i="3"/>
  <c r="AR39" i="3"/>
  <c r="AR40" i="3"/>
  <c r="AR41" i="3"/>
  <c r="AR42" i="3"/>
  <c r="AR43" i="3"/>
  <c r="AR44" i="3"/>
  <c r="AR45" i="3"/>
  <c r="AR46" i="3"/>
  <c r="AR47" i="3"/>
  <c r="AR48" i="3"/>
  <c r="AR49" i="3"/>
  <c r="AR50" i="3"/>
  <c r="AR51" i="3"/>
  <c r="AR52" i="3"/>
  <c r="AR53" i="3"/>
  <c r="AR54" i="3"/>
  <c r="AR55" i="3"/>
  <c r="AR56" i="3"/>
  <c r="AR57" i="3"/>
  <c r="AR58" i="3"/>
  <c r="AR59" i="3"/>
  <c r="AR60" i="3"/>
  <c r="AR61" i="3"/>
  <c r="AR62" i="3"/>
  <c r="AR63" i="3"/>
  <c r="AR64" i="3"/>
  <c r="AR65" i="3"/>
  <c r="AR66" i="3"/>
  <c r="AR67" i="3"/>
  <c r="AR68" i="3"/>
  <c r="AR69" i="3"/>
  <c r="AR70" i="3"/>
  <c r="AR71" i="3"/>
  <c r="AR72" i="3"/>
  <c r="AR73" i="3"/>
  <c r="AR74" i="3"/>
  <c r="AR75" i="3"/>
  <c r="AR76" i="3"/>
  <c r="AR77" i="3"/>
  <c r="AR78" i="3"/>
  <c r="AR79" i="3"/>
  <c r="AR80" i="3"/>
  <c r="AR81" i="3"/>
  <c r="AR82" i="3"/>
  <c r="AR83" i="3"/>
  <c r="AR84" i="3"/>
  <c r="AR85" i="3"/>
  <c r="AR86" i="3"/>
  <c r="AR87" i="3"/>
  <c r="AR88" i="3"/>
  <c r="AR89" i="3"/>
  <c r="AR90" i="3"/>
  <c r="AR91" i="3"/>
  <c r="AR92" i="3"/>
  <c r="AR93" i="3"/>
  <c r="AR94" i="3"/>
  <c r="AR8" i="3"/>
  <c r="AN12" i="28" l="1"/>
  <c r="AI12" i="28"/>
  <c r="AI23" i="28"/>
  <c r="AN23" i="28"/>
  <c r="AN17" i="28"/>
  <c r="AI17" i="28"/>
  <c r="AN26" i="28"/>
  <c r="AI26" i="28"/>
  <c r="AI16" i="28"/>
  <c r="AN16" i="28"/>
  <c r="AI27" i="28"/>
  <c r="AN27" i="28"/>
  <c r="AI20" i="28"/>
  <c r="AN20" i="28"/>
  <c r="AN28" i="28"/>
  <c r="AI28" i="28"/>
  <c r="AN13" i="28"/>
  <c r="AI13" i="28"/>
  <c r="AI24" i="28"/>
  <c r="AN24" i="28"/>
  <c r="AN25" i="28"/>
  <c r="AI25" i="28"/>
  <c r="AN9" i="28"/>
  <c r="AI9" i="28"/>
  <c r="AN22" i="28"/>
  <c r="AI22" i="28"/>
  <c r="AN21" i="28"/>
  <c r="AI21" i="28"/>
  <c r="AI11" i="28"/>
  <c r="AN11" i="28"/>
  <c r="AN10" i="28"/>
  <c r="AI10" i="28"/>
  <c r="AI15" i="28"/>
  <c r="AN15" i="28"/>
  <c r="AN14" i="28"/>
  <c r="AI14" i="28"/>
  <c r="AN8" i="28"/>
  <c r="AI8" i="28"/>
  <c r="AI19" i="28"/>
  <c r="AN19" i="28"/>
  <c r="AN18" i="28"/>
  <c r="AI18" i="28"/>
  <c r="T27" i="8"/>
  <c r="V27" i="8" s="1"/>
  <c r="W27" i="8" s="1"/>
  <c r="Y27" i="8" s="1"/>
  <c r="T24" i="8"/>
  <c r="V24" i="8" s="1"/>
  <c r="T9" i="8"/>
  <c r="V9" i="8" s="1"/>
  <c r="W9" i="8" s="1"/>
  <c r="Y9" i="8" s="1"/>
  <c r="T34" i="8"/>
  <c r="V34" i="8" s="1"/>
  <c r="W34" i="8" s="1"/>
  <c r="Y34" i="8" s="1"/>
  <c r="T8" i="8"/>
  <c r="V8" i="8" s="1"/>
  <c r="W8" i="8" s="1"/>
  <c r="Y8" i="8" s="1"/>
  <c r="T48" i="8"/>
  <c r="V48" i="8" s="1"/>
  <c r="T36" i="8"/>
  <c r="V36" i="8" s="1"/>
  <c r="W36" i="8" s="1"/>
  <c r="Y36" i="8" s="1"/>
  <c r="T18" i="8"/>
  <c r="V18" i="8" s="1"/>
  <c r="W18" i="8" s="1"/>
  <c r="Y18" i="8" s="1"/>
  <c r="AH36" i="8"/>
  <c r="AI36" i="8" s="1"/>
  <c r="AH21" i="8"/>
  <c r="AI21" i="8" s="1"/>
  <c r="AH45" i="8"/>
  <c r="AI45" i="8" s="1"/>
  <c r="AH39" i="8"/>
  <c r="AI39" i="8" s="1"/>
  <c r="T42" i="8"/>
  <c r="V42" i="8" s="1"/>
  <c r="W42" i="8" s="1"/>
  <c r="Y42" i="8" s="1"/>
  <c r="W48" i="8"/>
  <c r="Y48" i="8" s="1"/>
  <c r="T28" i="8"/>
  <c r="V28" i="8" s="1"/>
  <c r="W28" i="8" s="1"/>
  <c r="Y28" i="8" s="1"/>
  <c r="T20" i="8"/>
  <c r="V20" i="8" s="1"/>
  <c r="W20" i="8" s="1"/>
  <c r="Y20" i="8" s="1"/>
  <c r="T16" i="8"/>
  <c r="V16" i="8" s="1"/>
  <c r="W16" i="8" s="1"/>
  <c r="Y16" i="8" s="1"/>
  <c r="T33" i="8"/>
  <c r="V33" i="8" s="1"/>
  <c r="W33" i="8" s="1"/>
  <c r="Y33" i="8" s="1"/>
  <c r="T12" i="8"/>
  <c r="V12" i="8" s="1"/>
  <c r="W12" i="8" s="1"/>
  <c r="Y12" i="8" s="1"/>
  <c r="T39" i="8"/>
  <c r="V39" i="8" s="1"/>
  <c r="W39" i="8" s="1"/>
  <c r="Y39" i="8" s="1"/>
  <c r="T40" i="8"/>
  <c r="V40" i="8" s="1"/>
  <c r="W40" i="8" s="1"/>
  <c r="Y40" i="8" s="1"/>
  <c r="T14" i="8"/>
  <c r="V14" i="8" s="1"/>
  <c r="W14" i="8" s="1"/>
  <c r="Y14" i="8" s="1"/>
  <c r="T17" i="8"/>
  <c r="V17" i="8" s="1"/>
  <c r="W17" i="8" s="1"/>
  <c r="Y17" i="8" s="1"/>
  <c r="T43" i="8"/>
  <c r="V43" i="8" s="1"/>
  <c r="W43" i="8" s="1"/>
  <c r="Y43" i="8" s="1"/>
  <c r="T49" i="8"/>
  <c r="V49" i="8" s="1"/>
  <c r="W49" i="8" s="1"/>
  <c r="Y49" i="8" s="1"/>
  <c r="T31" i="8"/>
  <c r="V31" i="8" s="1"/>
  <c r="W31" i="8" s="1"/>
  <c r="Y31" i="8" s="1"/>
  <c r="T15" i="8"/>
  <c r="V15" i="8" s="1"/>
  <c r="W15" i="8" s="1"/>
  <c r="Y15" i="8" s="1"/>
  <c r="T21" i="8"/>
  <c r="V21" i="8" s="1"/>
  <c r="W21" i="8" s="1"/>
  <c r="Y21" i="8" s="1"/>
  <c r="T46" i="8"/>
  <c r="V46" i="8" s="1"/>
  <c r="W46" i="8" s="1"/>
  <c r="Y46" i="8" s="1"/>
  <c r="T38" i="8"/>
  <c r="V38" i="8" s="1"/>
  <c r="W38" i="8" s="1"/>
  <c r="Y38" i="8" s="1"/>
  <c r="T22" i="8"/>
  <c r="V22" i="8" s="1"/>
  <c r="W22" i="8" s="1"/>
  <c r="Y22" i="8" s="1"/>
  <c r="T37" i="8"/>
  <c r="V37" i="8" s="1"/>
  <c r="W37" i="8" s="1"/>
  <c r="Y37" i="8" s="1"/>
  <c r="T45" i="8"/>
  <c r="V45" i="8" s="1"/>
  <c r="W45" i="8" s="1"/>
  <c r="Y45" i="8" s="1"/>
  <c r="T30" i="8"/>
  <c r="V30" i="8" s="1"/>
  <c r="W30" i="8" s="1"/>
  <c r="Y30" i="8" s="1"/>
  <c r="T23" i="8"/>
  <c r="V23" i="8" s="1"/>
  <c r="W23" i="8" s="1"/>
  <c r="Y23" i="8" s="1"/>
  <c r="T25" i="8"/>
  <c r="V25" i="8" s="1"/>
  <c r="W25" i="8" s="1"/>
  <c r="Y25" i="8" s="1"/>
  <c r="T10" i="8"/>
  <c r="V10" i="8" s="1"/>
  <c r="W10" i="8" s="1"/>
  <c r="Y10" i="8" s="1"/>
  <c r="T11" i="8"/>
  <c r="V11" i="8" s="1"/>
  <c r="W11" i="8" s="1"/>
  <c r="Y11" i="8" s="1"/>
  <c r="T26" i="8"/>
  <c r="V26" i="8" s="1"/>
  <c r="W26" i="8" s="1"/>
  <c r="Y26" i="8" s="1"/>
  <c r="AH9" i="8"/>
  <c r="AI9" i="8" s="1"/>
  <c r="T41" i="8"/>
  <c r="V41" i="8" s="1"/>
  <c r="W41" i="8" s="1"/>
  <c r="Y41" i="8" s="1"/>
  <c r="AH33" i="8"/>
  <c r="AI33" i="8" s="1"/>
  <c r="T29" i="8"/>
  <c r="V29" i="8" s="1"/>
  <c r="W29" i="8" s="1"/>
  <c r="Y29" i="8" s="1"/>
  <c r="T13" i="8"/>
  <c r="V13" i="8" s="1"/>
  <c r="W13" i="8" s="1"/>
  <c r="Y13" i="8" s="1"/>
  <c r="AH8" i="8"/>
  <c r="AN8" i="8" s="1"/>
  <c r="T19" i="8"/>
  <c r="V19" i="8" s="1"/>
  <c r="W19" i="8" s="1"/>
  <c r="Y19" i="8" s="1"/>
  <c r="T44" i="8"/>
  <c r="V44" i="8" s="1"/>
  <c r="W44" i="8" s="1"/>
  <c r="Y44" i="8" s="1"/>
  <c r="T47" i="8"/>
  <c r="V47" i="8" s="1"/>
  <c r="W47" i="8" s="1"/>
  <c r="Y47" i="8" s="1"/>
  <c r="T32" i="8"/>
  <c r="V32" i="8" s="1"/>
  <c r="W32" i="8" s="1"/>
  <c r="Y32" i="8" s="1"/>
  <c r="T35" i="8"/>
  <c r="V35" i="8" s="1"/>
  <c r="W35" i="8" s="1"/>
  <c r="Y35" i="8" s="1"/>
  <c r="AH27" i="8"/>
  <c r="AI27" i="8" s="1"/>
  <c r="W24" i="8"/>
  <c r="Y24" i="8" s="1"/>
  <c r="AH30" i="8"/>
  <c r="AH24" i="8"/>
  <c r="AH18" i="8"/>
  <c r="AH12" i="8"/>
  <c r="AH37" i="8"/>
  <c r="AH40" i="8"/>
  <c r="AH28" i="8"/>
  <c r="AH47" i="8"/>
  <c r="AH31" i="8"/>
  <c r="AH25" i="8"/>
  <c r="AH19" i="8"/>
  <c r="AH13" i="8"/>
  <c r="AH46" i="8"/>
  <c r="AH44" i="8"/>
  <c r="AH38" i="8"/>
  <c r="AH32" i="8"/>
  <c r="AH26" i="8"/>
  <c r="AH10" i="8"/>
  <c r="AH49" i="8"/>
  <c r="AH43" i="8"/>
  <c r="AH34" i="8"/>
  <c r="AH22" i="8"/>
  <c r="AH41" i="8"/>
  <c r="AH35" i="8"/>
  <c r="AH29" i="8"/>
  <c r="AH23" i="8"/>
  <c r="AH17" i="8"/>
  <c r="AH11" i="8"/>
  <c r="AH15" i="8"/>
  <c r="AH16" i="8"/>
  <c r="AH48" i="8"/>
  <c r="AH42" i="8"/>
  <c r="AH20" i="8"/>
  <c r="AH14" i="8"/>
  <c r="T50" i="8"/>
  <c r="V50" i="8" s="1"/>
  <c r="W50" i="8" s="1"/>
  <c r="Y50" i="8" s="1"/>
  <c r="T56" i="8"/>
  <c r="V56" i="8" s="1"/>
  <c r="T51" i="8"/>
  <c r="V51" i="8" s="1"/>
  <c r="W51" i="8" s="1"/>
  <c r="Y51" i="8" s="1"/>
  <c r="T53" i="8"/>
  <c r="V53" i="8" s="1"/>
  <c r="W53" i="8" s="1"/>
  <c r="Y53" i="8" s="1"/>
  <c r="T61" i="8"/>
  <c r="V61" i="8" s="1"/>
  <c r="W61" i="8" s="1"/>
  <c r="Y61" i="8" s="1"/>
  <c r="T65" i="8"/>
  <c r="V65" i="8" s="1"/>
  <c r="W65" i="8" s="1"/>
  <c r="Y65" i="8" s="1"/>
  <c r="T60" i="8"/>
  <c r="V60" i="8" s="1"/>
  <c r="W60" i="8" s="1"/>
  <c r="Y60" i="8" s="1"/>
  <c r="T68" i="8"/>
  <c r="V68" i="8" s="1"/>
  <c r="W68" i="8" s="1"/>
  <c r="Y68" i="8" s="1"/>
  <c r="T55" i="8"/>
  <c r="V55" i="8" s="1"/>
  <c r="W55" i="8" s="1"/>
  <c r="Y55" i="8" s="1"/>
  <c r="T59" i="8"/>
  <c r="V59" i="8" s="1"/>
  <c r="W59" i="8" s="1"/>
  <c r="Y59" i="8" s="1"/>
  <c r="T63" i="8"/>
  <c r="V63" i="8" s="1"/>
  <c r="W63" i="8" s="1"/>
  <c r="Y63" i="8" s="1"/>
  <c r="T70" i="8"/>
  <c r="V70" i="8" s="1"/>
  <c r="W70" i="8" s="1"/>
  <c r="Y70" i="8" s="1"/>
  <c r="T57" i="8"/>
  <c r="V57" i="8" s="1"/>
  <c r="W57" i="8" s="1"/>
  <c r="Y57" i="8" s="1"/>
  <c r="T58" i="8"/>
  <c r="V58" i="8" s="1"/>
  <c r="W58" i="8" s="1"/>
  <c r="Y58" i="8" s="1"/>
  <c r="T62" i="8"/>
  <c r="V62" i="8" s="1"/>
  <c r="W62" i="8" s="1"/>
  <c r="Y62" i="8" s="1"/>
  <c r="T67" i="8"/>
  <c r="V67" i="8" s="1"/>
  <c r="W67" i="8" s="1"/>
  <c r="Y67" i="8" s="1"/>
  <c r="T54" i="8"/>
  <c r="V54" i="8" s="1"/>
  <c r="W54" i="8" s="1"/>
  <c r="Y54" i="8" s="1"/>
  <c r="T69" i="8"/>
  <c r="V69" i="8" s="1"/>
  <c r="W69" i="8" s="1"/>
  <c r="Y69" i="8" s="1"/>
  <c r="T52" i="8"/>
  <c r="V52" i="8" s="1"/>
  <c r="W52" i="8" s="1"/>
  <c r="Y52" i="8" s="1"/>
  <c r="T64" i="8"/>
  <c r="V64" i="8" s="1"/>
  <c r="W64" i="8" s="1"/>
  <c r="Y64" i="8" s="1"/>
  <c r="AH69" i="8"/>
  <c r="AH62" i="8"/>
  <c r="AH60" i="8"/>
  <c r="AH58" i="8"/>
  <c r="AH51" i="8"/>
  <c r="AH66" i="8"/>
  <c r="AH64" i="8"/>
  <c r="AH57" i="8"/>
  <c r="AH55" i="8"/>
  <c r="AH67" i="8"/>
  <c r="AH70" i="8"/>
  <c r="AH61" i="8"/>
  <c r="AH53" i="8"/>
  <c r="AH50" i="8"/>
  <c r="AH59" i="8"/>
  <c r="AH65" i="8"/>
  <c r="AH63" i="8"/>
  <c r="AH54" i="8"/>
  <c r="AH52" i="8"/>
  <c r="AH68" i="8"/>
  <c r="AH56" i="8"/>
  <c r="W56" i="8"/>
  <c r="Y56" i="8" s="1"/>
  <c r="T66" i="8"/>
  <c r="V66" i="8" s="1"/>
  <c r="W66" i="8" s="1"/>
  <c r="Y66" i="8" s="1"/>
  <c r="BN9" i="3"/>
  <c r="BN10" i="3"/>
  <c r="BN11" i="3"/>
  <c r="BN12" i="3"/>
  <c r="BN13" i="3"/>
  <c r="BN14" i="3"/>
  <c r="BN15" i="3"/>
  <c r="BN16" i="3"/>
  <c r="BN17" i="3"/>
  <c r="BN18" i="3"/>
  <c r="BN19" i="3"/>
  <c r="BN20" i="3"/>
  <c r="BN21" i="3"/>
  <c r="BN22" i="3"/>
  <c r="BN23" i="3"/>
  <c r="BN24" i="3"/>
  <c r="BN25" i="3"/>
  <c r="BN26" i="3"/>
  <c r="BN27" i="3"/>
  <c r="BN28" i="3"/>
  <c r="BN29" i="3"/>
  <c r="BN30" i="3"/>
  <c r="BN31" i="3"/>
  <c r="BN32" i="3"/>
  <c r="BN33" i="3"/>
  <c r="BN34" i="3"/>
  <c r="BN35" i="3"/>
  <c r="BN36" i="3"/>
  <c r="BN37" i="3"/>
  <c r="BN38" i="3"/>
  <c r="BN39" i="3"/>
  <c r="BN40" i="3"/>
  <c r="BN41" i="3"/>
  <c r="BN42" i="3"/>
  <c r="BN43" i="3"/>
  <c r="BN44" i="3"/>
  <c r="BN45" i="3"/>
  <c r="BN46" i="3"/>
  <c r="BN47" i="3"/>
  <c r="BN48" i="3"/>
  <c r="BN49" i="3"/>
  <c r="BN50" i="3"/>
  <c r="BN51" i="3"/>
  <c r="BN52" i="3"/>
  <c r="BN53" i="3"/>
  <c r="BN54" i="3"/>
  <c r="BN55" i="3"/>
  <c r="BN56" i="3"/>
  <c r="BN57" i="3"/>
  <c r="BN58" i="3"/>
  <c r="BN59" i="3"/>
  <c r="BN60" i="3"/>
  <c r="BN61" i="3"/>
  <c r="BN62" i="3"/>
  <c r="BN63" i="3"/>
  <c r="BN64" i="3"/>
  <c r="BN65" i="3"/>
  <c r="BN66" i="3"/>
  <c r="BN67" i="3"/>
  <c r="BN68" i="3"/>
  <c r="BN69" i="3"/>
  <c r="BN70" i="3"/>
  <c r="BN71" i="3"/>
  <c r="BN72" i="3"/>
  <c r="BN73" i="3"/>
  <c r="BN74" i="3"/>
  <c r="BN75" i="3"/>
  <c r="BN76" i="3"/>
  <c r="BN77" i="3"/>
  <c r="BN78" i="3"/>
  <c r="BN79" i="3"/>
  <c r="BN80" i="3"/>
  <c r="BN81" i="3"/>
  <c r="BN82" i="3"/>
  <c r="BN83" i="3"/>
  <c r="BN84" i="3"/>
  <c r="BN85" i="3"/>
  <c r="BN86" i="3"/>
  <c r="BN87" i="3"/>
  <c r="BN88" i="3"/>
  <c r="BN89" i="3"/>
  <c r="BN90" i="3"/>
  <c r="BN91" i="3"/>
  <c r="BN92" i="3"/>
  <c r="BN93" i="3"/>
  <c r="BN94" i="3"/>
  <c r="BN8" i="3"/>
  <c r="BM9" i="3"/>
  <c r="BM10" i="3"/>
  <c r="BM11" i="3"/>
  <c r="BM12" i="3"/>
  <c r="BM13" i="3"/>
  <c r="BM14" i="3"/>
  <c r="BM15" i="3"/>
  <c r="BM16" i="3"/>
  <c r="BM17" i="3"/>
  <c r="BM18" i="3"/>
  <c r="BM19" i="3"/>
  <c r="BM20" i="3"/>
  <c r="BM21" i="3"/>
  <c r="BM22" i="3"/>
  <c r="BM23" i="3"/>
  <c r="BM24" i="3"/>
  <c r="BM25" i="3"/>
  <c r="BM26" i="3"/>
  <c r="BM27" i="3"/>
  <c r="BM28" i="3"/>
  <c r="BM29" i="3"/>
  <c r="BM30" i="3"/>
  <c r="BM31" i="3"/>
  <c r="BM32" i="3"/>
  <c r="BM33" i="3"/>
  <c r="BM34" i="3"/>
  <c r="BM35" i="3"/>
  <c r="BM36" i="3"/>
  <c r="BM37" i="3"/>
  <c r="BM38" i="3"/>
  <c r="BM39" i="3"/>
  <c r="BM40" i="3"/>
  <c r="BM41" i="3"/>
  <c r="BM42" i="3"/>
  <c r="BM43" i="3"/>
  <c r="BM44" i="3"/>
  <c r="BM45" i="3"/>
  <c r="BM46" i="3"/>
  <c r="BM47" i="3"/>
  <c r="BM48" i="3"/>
  <c r="BM49" i="3"/>
  <c r="BM50" i="3"/>
  <c r="BM51" i="3"/>
  <c r="BM52" i="3"/>
  <c r="BM53" i="3"/>
  <c r="BM54" i="3"/>
  <c r="BM55" i="3"/>
  <c r="BM56" i="3"/>
  <c r="BM57" i="3"/>
  <c r="BM58" i="3"/>
  <c r="BM59" i="3"/>
  <c r="BM60" i="3"/>
  <c r="BM61" i="3"/>
  <c r="BM62" i="3"/>
  <c r="BM63" i="3"/>
  <c r="BM64" i="3"/>
  <c r="BM65" i="3"/>
  <c r="BM66" i="3"/>
  <c r="BM67" i="3"/>
  <c r="BM68" i="3"/>
  <c r="BM69" i="3"/>
  <c r="BM70" i="3"/>
  <c r="BM71" i="3"/>
  <c r="BM72" i="3"/>
  <c r="BM73" i="3"/>
  <c r="BM74" i="3"/>
  <c r="BM75" i="3"/>
  <c r="BM76" i="3"/>
  <c r="BM77" i="3"/>
  <c r="BM78" i="3"/>
  <c r="BM79" i="3"/>
  <c r="BM80" i="3"/>
  <c r="BM81" i="3"/>
  <c r="BM82" i="3"/>
  <c r="BM83" i="3"/>
  <c r="BM84" i="3"/>
  <c r="BM85" i="3"/>
  <c r="BM86" i="3"/>
  <c r="BM87" i="3"/>
  <c r="BM88" i="3"/>
  <c r="BM89" i="3"/>
  <c r="BM90" i="3"/>
  <c r="BM91" i="3"/>
  <c r="BM92" i="3"/>
  <c r="BM93" i="3"/>
  <c r="BM94" i="3"/>
  <c r="BM8" i="3"/>
  <c r="BF9" i="3"/>
  <c r="BF10" i="3"/>
  <c r="BF11" i="3"/>
  <c r="BF12" i="3"/>
  <c r="BF13" i="3"/>
  <c r="BF14" i="3"/>
  <c r="BF15" i="3"/>
  <c r="BF16" i="3"/>
  <c r="BF17" i="3"/>
  <c r="BF18" i="3"/>
  <c r="BF19" i="3"/>
  <c r="BF20" i="3"/>
  <c r="BF21" i="3"/>
  <c r="BF22" i="3"/>
  <c r="BF23" i="3"/>
  <c r="BF24" i="3"/>
  <c r="BF25" i="3"/>
  <c r="BF26" i="3"/>
  <c r="BF27" i="3"/>
  <c r="BF28" i="3"/>
  <c r="BF29" i="3"/>
  <c r="BF30" i="3"/>
  <c r="BF31" i="3"/>
  <c r="BF32" i="3"/>
  <c r="BF33" i="3"/>
  <c r="BF34" i="3"/>
  <c r="BF35" i="3"/>
  <c r="BF36" i="3"/>
  <c r="BF37" i="3"/>
  <c r="BF38" i="3"/>
  <c r="BF39" i="3"/>
  <c r="BF40" i="3"/>
  <c r="BF41" i="3"/>
  <c r="BF42" i="3"/>
  <c r="BF43" i="3"/>
  <c r="BF44" i="3"/>
  <c r="BF45" i="3"/>
  <c r="BF46" i="3"/>
  <c r="BF47" i="3"/>
  <c r="BF48" i="3"/>
  <c r="BF49" i="3"/>
  <c r="BF50" i="3"/>
  <c r="BF51" i="3"/>
  <c r="BF52" i="3"/>
  <c r="BF53" i="3"/>
  <c r="BF54" i="3"/>
  <c r="BF55" i="3"/>
  <c r="BF56" i="3"/>
  <c r="BF57" i="3"/>
  <c r="BF58" i="3"/>
  <c r="BF59" i="3"/>
  <c r="BF60" i="3"/>
  <c r="BF61" i="3"/>
  <c r="BF62" i="3"/>
  <c r="BF63" i="3"/>
  <c r="BF64" i="3"/>
  <c r="BF65" i="3"/>
  <c r="BF66" i="3"/>
  <c r="BF67" i="3"/>
  <c r="BF68" i="3"/>
  <c r="BF69" i="3"/>
  <c r="BF70" i="3"/>
  <c r="BF71" i="3"/>
  <c r="BF72" i="3"/>
  <c r="BF73" i="3"/>
  <c r="BF74" i="3"/>
  <c r="BF75" i="3"/>
  <c r="BF76" i="3"/>
  <c r="BF77" i="3"/>
  <c r="BF78" i="3"/>
  <c r="BF79" i="3"/>
  <c r="BF80" i="3"/>
  <c r="BF81" i="3"/>
  <c r="BF82" i="3"/>
  <c r="BF83" i="3"/>
  <c r="BF84" i="3"/>
  <c r="BF85" i="3"/>
  <c r="BF86" i="3"/>
  <c r="BF87" i="3"/>
  <c r="BF88" i="3"/>
  <c r="BF89" i="3"/>
  <c r="BF90" i="3"/>
  <c r="BF91" i="3"/>
  <c r="BF92" i="3"/>
  <c r="BF93" i="3"/>
  <c r="BF94" i="3"/>
  <c r="BF8" i="3"/>
  <c r="BE9" i="3"/>
  <c r="BE10" i="3"/>
  <c r="BE11" i="3"/>
  <c r="BE12" i="3"/>
  <c r="BE13" i="3"/>
  <c r="BE14" i="3"/>
  <c r="BE15" i="3"/>
  <c r="BE16" i="3"/>
  <c r="BE17" i="3"/>
  <c r="BE18" i="3"/>
  <c r="BE19" i="3"/>
  <c r="BE20" i="3"/>
  <c r="BE21" i="3"/>
  <c r="BE22" i="3"/>
  <c r="BE23" i="3"/>
  <c r="BE24" i="3"/>
  <c r="BE25" i="3"/>
  <c r="BE26" i="3"/>
  <c r="BE27" i="3"/>
  <c r="BE28" i="3"/>
  <c r="BE29" i="3"/>
  <c r="BE30" i="3"/>
  <c r="BE31" i="3"/>
  <c r="BE32" i="3"/>
  <c r="BE33" i="3"/>
  <c r="BE34" i="3"/>
  <c r="BE35" i="3"/>
  <c r="BE36" i="3"/>
  <c r="BE37" i="3"/>
  <c r="BE38" i="3"/>
  <c r="BE39" i="3"/>
  <c r="BE40" i="3"/>
  <c r="BE41" i="3"/>
  <c r="BE42" i="3"/>
  <c r="BE43" i="3"/>
  <c r="BE44" i="3"/>
  <c r="BE45" i="3"/>
  <c r="BE46" i="3"/>
  <c r="BE47" i="3"/>
  <c r="BE48" i="3"/>
  <c r="BE49" i="3"/>
  <c r="BE50" i="3"/>
  <c r="BE51" i="3"/>
  <c r="BE52" i="3"/>
  <c r="BE53" i="3"/>
  <c r="BE54" i="3"/>
  <c r="BE55" i="3"/>
  <c r="BE56" i="3"/>
  <c r="BE57" i="3"/>
  <c r="BE58" i="3"/>
  <c r="BE59" i="3"/>
  <c r="BE60" i="3"/>
  <c r="BE61" i="3"/>
  <c r="BE62" i="3"/>
  <c r="BE63" i="3"/>
  <c r="BE64" i="3"/>
  <c r="BE65" i="3"/>
  <c r="BE66" i="3"/>
  <c r="BE67" i="3"/>
  <c r="BE68" i="3"/>
  <c r="BE69" i="3"/>
  <c r="BE70" i="3"/>
  <c r="BE71" i="3"/>
  <c r="BE72" i="3"/>
  <c r="BE73" i="3"/>
  <c r="BE74" i="3"/>
  <c r="BE75" i="3"/>
  <c r="BE76" i="3"/>
  <c r="BE77" i="3"/>
  <c r="BE78" i="3"/>
  <c r="BE79" i="3"/>
  <c r="BE80" i="3"/>
  <c r="BE81" i="3"/>
  <c r="BE82" i="3"/>
  <c r="BE83" i="3"/>
  <c r="BE84" i="3"/>
  <c r="BE85" i="3"/>
  <c r="BE86" i="3"/>
  <c r="BE87" i="3"/>
  <c r="BE88" i="3"/>
  <c r="BE89" i="3"/>
  <c r="BE90" i="3"/>
  <c r="BE91" i="3"/>
  <c r="BE92" i="3"/>
  <c r="BE93" i="3"/>
  <c r="BE94" i="3"/>
  <c r="BE8" i="3"/>
  <c r="BD9" i="3"/>
  <c r="BG9" i="3" s="1"/>
  <c r="BD10" i="3"/>
  <c r="BG10" i="3" s="1"/>
  <c r="BD11" i="3"/>
  <c r="BG11" i="3" s="1"/>
  <c r="BD12" i="3"/>
  <c r="BG12" i="3" s="1"/>
  <c r="BD13" i="3"/>
  <c r="BG13" i="3" s="1"/>
  <c r="BD14" i="3"/>
  <c r="BG14" i="3" s="1"/>
  <c r="BD15" i="3"/>
  <c r="BG15" i="3" s="1"/>
  <c r="BD16" i="3"/>
  <c r="BG16" i="3" s="1"/>
  <c r="BD17" i="3"/>
  <c r="BG17" i="3" s="1"/>
  <c r="BD18" i="3"/>
  <c r="BG18" i="3" s="1"/>
  <c r="BD19" i="3"/>
  <c r="BG19" i="3" s="1"/>
  <c r="BD20" i="3"/>
  <c r="BG20" i="3" s="1"/>
  <c r="BD21" i="3"/>
  <c r="BG21" i="3" s="1"/>
  <c r="BD22" i="3"/>
  <c r="BG22" i="3" s="1"/>
  <c r="BD23" i="3"/>
  <c r="BG23" i="3" s="1"/>
  <c r="BD24" i="3"/>
  <c r="BG24" i="3" s="1"/>
  <c r="BD25" i="3"/>
  <c r="BG25" i="3" s="1"/>
  <c r="BD26" i="3"/>
  <c r="BG26" i="3" s="1"/>
  <c r="BD27" i="3"/>
  <c r="BG27" i="3" s="1"/>
  <c r="BD28" i="3"/>
  <c r="BG28" i="3" s="1"/>
  <c r="BD29" i="3"/>
  <c r="BG29" i="3" s="1"/>
  <c r="BD30" i="3"/>
  <c r="BG30" i="3" s="1"/>
  <c r="BD31" i="3"/>
  <c r="BG31" i="3" s="1"/>
  <c r="BD32" i="3"/>
  <c r="BG32" i="3" s="1"/>
  <c r="BD33" i="3"/>
  <c r="BG33" i="3" s="1"/>
  <c r="BD34" i="3"/>
  <c r="BG34" i="3" s="1"/>
  <c r="BD35" i="3"/>
  <c r="BG35" i="3" s="1"/>
  <c r="BD36" i="3"/>
  <c r="BG36" i="3" s="1"/>
  <c r="BD37" i="3"/>
  <c r="BG37" i="3" s="1"/>
  <c r="BD38" i="3"/>
  <c r="BG38" i="3" s="1"/>
  <c r="BD39" i="3"/>
  <c r="BG39" i="3" s="1"/>
  <c r="BD40" i="3"/>
  <c r="BG40" i="3" s="1"/>
  <c r="BD41" i="3"/>
  <c r="BG41" i="3" s="1"/>
  <c r="BD42" i="3"/>
  <c r="BG42" i="3" s="1"/>
  <c r="BD43" i="3"/>
  <c r="BG43" i="3" s="1"/>
  <c r="BD44" i="3"/>
  <c r="BG44" i="3" s="1"/>
  <c r="BD45" i="3"/>
  <c r="BG45" i="3" s="1"/>
  <c r="BD46" i="3"/>
  <c r="BG46" i="3" s="1"/>
  <c r="BD47" i="3"/>
  <c r="BG47" i="3" s="1"/>
  <c r="BD48" i="3"/>
  <c r="BG48" i="3" s="1"/>
  <c r="BD49" i="3"/>
  <c r="BG49" i="3" s="1"/>
  <c r="BD50" i="3"/>
  <c r="BG50" i="3" s="1"/>
  <c r="BD51" i="3"/>
  <c r="BG51" i="3" s="1"/>
  <c r="BD52" i="3"/>
  <c r="BG52" i="3" s="1"/>
  <c r="BD53" i="3"/>
  <c r="BG53" i="3" s="1"/>
  <c r="BD54" i="3"/>
  <c r="BG54" i="3" s="1"/>
  <c r="BD55" i="3"/>
  <c r="BG55" i="3" s="1"/>
  <c r="BD56" i="3"/>
  <c r="BG56" i="3" s="1"/>
  <c r="BD57" i="3"/>
  <c r="BG57" i="3" s="1"/>
  <c r="BD58" i="3"/>
  <c r="BG58" i="3" s="1"/>
  <c r="BD59" i="3"/>
  <c r="BG59" i="3" s="1"/>
  <c r="BD60" i="3"/>
  <c r="BG60" i="3" s="1"/>
  <c r="BD61" i="3"/>
  <c r="BG61" i="3" s="1"/>
  <c r="BD62" i="3"/>
  <c r="BG62" i="3" s="1"/>
  <c r="BD63" i="3"/>
  <c r="BG63" i="3" s="1"/>
  <c r="BD64" i="3"/>
  <c r="BG64" i="3" s="1"/>
  <c r="BD65" i="3"/>
  <c r="BG65" i="3" s="1"/>
  <c r="BD66" i="3"/>
  <c r="BG66" i="3" s="1"/>
  <c r="BD67" i="3"/>
  <c r="BG67" i="3" s="1"/>
  <c r="BD68" i="3"/>
  <c r="BG68" i="3" s="1"/>
  <c r="BD69" i="3"/>
  <c r="BG69" i="3" s="1"/>
  <c r="BD70" i="3"/>
  <c r="BG70" i="3" s="1"/>
  <c r="BD71" i="3"/>
  <c r="BG71" i="3" s="1"/>
  <c r="BD72" i="3"/>
  <c r="BG72" i="3" s="1"/>
  <c r="BD73" i="3"/>
  <c r="BG73" i="3" s="1"/>
  <c r="BD74" i="3"/>
  <c r="BG74" i="3" s="1"/>
  <c r="BD75" i="3"/>
  <c r="BG75" i="3" s="1"/>
  <c r="BD76" i="3"/>
  <c r="BG76" i="3" s="1"/>
  <c r="BD77" i="3"/>
  <c r="BG77" i="3" s="1"/>
  <c r="BD78" i="3"/>
  <c r="BG78" i="3" s="1"/>
  <c r="BD79" i="3"/>
  <c r="BG79" i="3" s="1"/>
  <c r="BD80" i="3"/>
  <c r="BG80" i="3" s="1"/>
  <c r="BD81" i="3"/>
  <c r="BG81" i="3" s="1"/>
  <c r="BD82" i="3"/>
  <c r="BG82" i="3" s="1"/>
  <c r="BD83" i="3"/>
  <c r="BG83" i="3" s="1"/>
  <c r="BD84" i="3"/>
  <c r="BG84" i="3" s="1"/>
  <c r="BD85" i="3"/>
  <c r="BG85" i="3" s="1"/>
  <c r="BD86" i="3"/>
  <c r="BG86" i="3" s="1"/>
  <c r="BD87" i="3"/>
  <c r="BG87" i="3" s="1"/>
  <c r="BD88" i="3"/>
  <c r="BG88" i="3" s="1"/>
  <c r="BD89" i="3"/>
  <c r="BG89" i="3" s="1"/>
  <c r="BD90" i="3"/>
  <c r="BG90" i="3" s="1"/>
  <c r="BD91" i="3"/>
  <c r="BG91" i="3" s="1"/>
  <c r="BD92" i="3"/>
  <c r="BG92" i="3" s="1"/>
  <c r="BD93" i="3"/>
  <c r="BG93" i="3" s="1"/>
  <c r="BD94" i="3"/>
  <c r="BG94" i="3" s="1"/>
  <c r="BD8" i="3"/>
  <c r="BG8" i="3" s="1"/>
  <c r="AQ9" i="3"/>
  <c r="AQ10" i="3"/>
  <c r="AQ11" i="3"/>
  <c r="AQ12" i="3"/>
  <c r="AQ13" i="3"/>
  <c r="AQ14" i="3"/>
  <c r="AQ15" i="3"/>
  <c r="AQ16" i="3"/>
  <c r="AQ17" i="3"/>
  <c r="AQ18" i="3"/>
  <c r="AQ19" i="3"/>
  <c r="AQ20" i="3"/>
  <c r="AQ21" i="3"/>
  <c r="AQ22" i="3"/>
  <c r="AQ23" i="3"/>
  <c r="AQ24" i="3"/>
  <c r="AQ25" i="3"/>
  <c r="AQ26" i="3"/>
  <c r="AQ27" i="3"/>
  <c r="AQ28" i="3"/>
  <c r="AQ29" i="3"/>
  <c r="AQ30" i="3"/>
  <c r="AQ31" i="3"/>
  <c r="AQ32" i="3"/>
  <c r="AQ33" i="3"/>
  <c r="AQ34" i="3"/>
  <c r="AQ35" i="3"/>
  <c r="AQ36" i="3"/>
  <c r="AQ37" i="3"/>
  <c r="AQ38" i="3"/>
  <c r="AQ39" i="3"/>
  <c r="AQ40" i="3"/>
  <c r="AQ41" i="3"/>
  <c r="AQ42" i="3"/>
  <c r="AQ43" i="3"/>
  <c r="AQ44" i="3"/>
  <c r="AQ45" i="3"/>
  <c r="AQ46" i="3"/>
  <c r="AQ47" i="3"/>
  <c r="AQ48" i="3"/>
  <c r="AQ49" i="3"/>
  <c r="AQ50" i="3"/>
  <c r="AQ51" i="3"/>
  <c r="AQ52" i="3"/>
  <c r="AQ53" i="3"/>
  <c r="AQ54" i="3"/>
  <c r="AQ55" i="3"/>
  <c r="AQ56" i="3"/>
  <c r="AQ57" i="3"/>
  <c r="AQ58" i="3"/>
  <c r="AQ59" i="3"/>
  <c r="AQ60" i="3"/>
  <c r="AQ61" i="3"/>
  <c r="AQ62" i="3"/>
  <c r="AQ63" i="3"/>
  <c r="AQ64" i="3"/>
  <c r="AQ65" i="3"/>
  <c r="AQ66" i="3"/>
  <c r="AQ67" i="3"/>
  <c r="AQ68" i="3"/>
  <c r="AQ71" i="3"/>
  <c r="AQ72" i="3"/>
  <c r="AQ73" i="3"/>
  <c r="AQ74" i="3"/>
  <c r="AQ75" i="3"/>
  <c r="AQ78" i="3"/>
  <c r="AQ79" i="3"/>
  <c r="AQ80" i="3"/>
  <c r="AQ81" i="3"/>
  <c r="AQ82" i="3"/>
  <c r="AQ85" i="3"/>
  <c r="AQ86" i="3"/>
  <c r="AQ87" i="3"/>
  <c r="AQ88" i="3"/>
  <c r="AQ89" i="3"/>
  <c r="AQ92" i="3"/>
  <c r="AQ93" i="3"/>
  <c r="AQ94" i="3"/>
  <c r="AQ8" i="3"/>
  <c r="AP9" i="3"/>
  <c r="AP10" i="3"/>
  <c r="AP11" i="3"/>
  <c r="AP12" i="3"/>
  <c r="AP13" i="3"/>
  <c r="AP14" i="3"/>
  <c r="AP15" i="3"/>
  <c r="AP16" i="3"/>
  <c r="AP17" i="3"/>
  <c r="AP18" i="3"/>
  <c r="AP19" i="3"/>
  <c r="AP20" i="3"/>
  <c r="AP21" i="3"/>
  <c r="AP22" i="3"/>
  <c r="AP23" i="3"/>
  <c r="AP24" i="3"/>
  <c r="AP25" i="3"/>
  <c r="AP26" i="3"/>
  <c r="AP27" i="3"/>
  <c r="AP28" i="3"/>
  <c r="AP29" i="3"/>
  <c r="AP30" i="3"/>
  <c r="AP31" i="3"/>
  <c r="AP32" i="3"/>
  <c r="AP33" i="3"/>
  <c r="AP34" i="3"/>
  <c r="AP35" i="3"/>
  <c r="AP36" i="3"/>
  <c r="AP37" i="3"/>
  <c r="AP38" i="3"/>
  <c r="AP39" i="3"/>
  <c r="AP40" i="3"/>
  <c r="AP41" i="3"/>
  <c r="AP42" i="3"/>
  <c r="AP43" i="3"/>
  <c r="AP44" i="3"/>
  <c r="AP45" i="3"/>
  <c r="AP46" i="3"/>
  <c r="AP47" i="3"/>
  <c r="AP48" i="3"/>
  <c r="AP49" i="3"/>
  <c r="AP50" i="3"/>
  <c r="AP51" i="3"/>
  <c r="AP52" i="3"/>
  <c r="AP53" i="3"/>
  <c r="AP54" i="3"/>
  <c r="AP55" i="3"/>
  <c r="AP56" i="3"/>
  <c r="AP57" i="3"/>
  <c r="AP58" i="3"/>
  <c r="AP59" i="3"/>
  <c r="AP60" i="3"/>
  <c r="AP61" i="3"/>
  <c r="AP62" i="3"/>
  <c r="AP63" i="3"/>
  <c r="AP64" i="3"/>
  <c r="AP65" i="3"/>
  <c r="AP66" i="3"/>
  <c r="AP67" i="3"/>
  <c r="AP68" i="3"/>
  <c r="AP69" i="3"/>
  <c r="AP70" i="3"/>
  <c r="AP71" i="3"/>
  <c r="AP72" i="3"/>
  <c r="AP73" i="3"/>
  <c r="AP74" i="3"/>
  <c r="AP75" i="3"/>
  <c r="AP76" i="3"/>
  <c r="AP77" i="3"/>
  <c r="AP78" i="3"/>
  <c r="AP79" i="3"/>
  <c r="AP80" i="3"/>
  <c r="AP81" i="3"/>
  <c r="AP82" i="3"/>
  <c r="AP83" i="3"/>
  <c r="AP84" i="3"/>
  <c r="AP85" i="3"/>
  <c r="AP86" i="3"/>
  <c r="AP87" i="3"/>
  <c r="AP88" i="3"/>
  <c r="AP89" i="3"/>
  <c r="AP90" i="3"/>
  <c r="AP91" i="3"/>
  <c r="AP92" i="3"/>
  <c r="AP93" i="3"/>
  <c r="AP94" i="3"/>
  <c r="AP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8" i="3"/>
  <c r="AA9" i="3"/>
  <c r="AD9" i="3" s="1"/>
  <c r="AA10" i="3"/>
  <c r="AD10" i="3" s="1"/>
  <c r="AA11" i="3"/>
  <c r="AD11" i="3" s="1"/>
  <c r="AA12" i="3"/>
  <c r="AD12" i="3" s="1"/>
  <c r="AA13" i="3"/>
  <c r="AD13" i="3" s="1"/>
  <c r="AA14" i="3"/>
  <c r="AD14" i="3" s="1"/>
  <c r="AA15" i="3"/>
  <c r="AD15" i="3" s="1"/>
  <c r="AA16" i="3"/>
  <c r="AD16" i="3" s="1"/>
  <c r="AA17" i="3"/>
  <c r="AD17" i="3" s="1"/>
  <c r="AA18" i="3"/>
  <c r="AD18" i="3" s="1"/>
  <c r="AA19" i="3"/>
  <c r="AD19" i="3" s="1"/>
  <c r="AA20" i="3"/>
  <c r="AD20" i="3" s="1"/>
  <c r="AA21" i="3"/>
  <c r="AD21" i="3" s="1"/>
  <c r="AA22" i="3"/>
  <c r="AD22" i="3" s="1"/>
  <c r="AA23" i="3"/>
  <c r="AD23" i="3" s="1"/>
  <c r="AA24" i="3"/>
  <c r="AD24" i="3" s="1"/>
  <c r="AA25" i="3"/>
  <c r="AD25" i="3" s="1"/>
  <c r="AA26" i="3"/>
  <c r="AD26" i="3" s="1"/>
  <c r="AA27" i="3"/>
  <c r="AD27" i="3" s="1"/>
  <c r="AA28" i="3"/>
  <c r="AD28" i="3" s="1"/>
  <c r="AA29" i="3"/>
  <c r="AD29" i="3" s="1"/>
  <c r="AA30" i="3"/>
  <c r="AD30" i="3" s="1"/>
  <c r="AA31" i="3"/>
  <c r="AD31" i="3" s="1"/>
  <c r="AA32" i="3"/>
  <c r="AD32" i="3" s="1"/>
  <c r="AA33" i="3"/>
  <c r="AD33" i="3" s="1"/>
  <c r="AA34" i="3"/>
  <c r="AD34" i="3" s="1"/>
  <c r="AA35" i="3"/>
  <c r="AD35" i="3" s="1"/>
  <c r="AA36" i="3"/>
  <c r="AD36" i="3" s="1"/>
  <c r="AA37" i="3"/>
  <c r="AD37" i="3" s="1"/>
  <c r="AA38" i="3"/>
  <c r="AD38" i="3" s="1"/>
  <c r="AA39" i="3"/>
  <c r="AD39" i="3" s="1"/>
  <c r="AA40" i="3"/>
  <c r="AD40" i="3" s="1"/>
  <c r="AA41" i="3"/>
  <c r="AD41" i="3" s="1"/>
  <c r="AA42" i="3"/>
  <c r="AD42" i="3" s="1"/>
  <c r="AA43" i="3"/>
  <c r="AD43" i="3" s="1"/>
  <c r="AA44" i="3"/>
  <c r="AD44" i="3" s="1"/>
  <c r="AA45" i="3"/>
  <c r="AD45" i="3" s="1"/>
  <c r="AA46" i="3"/>
  <c r="AD46" i="3" s="1"/>
  <c r="AA47" i="3"/>
  <c r="AD47" i="3" s="1"/>
  <c r="AA48" i="3"/>
  <c r="AD48" i="3" s="1"/>
  <c r="AA49" i="3"/>
  <c r="AD49" i="3" s="1"/>
  <c r="AA50" i="3"/>
  <c r="AD50" i="3" s="1"/>
  <c r="AA51" i="3"/>
  <c r="AD51" i="3" s="1"/>
  <c r="AA52" i="3"/>
  <c r="AD52" i="3" s="1"/>
  <c r="AA53" i="3"/>
  <c r="AD53" i="3" s="1"/>
  <c r="AA54" i="3"/>
  <c r="AD54" i="3" s="1"/>
  <c r="AA55" i="3"/>
  <c r="AD55" i="3" s="1"/>
  <c r="AA56" i="3"/>
  <c r="AD56" i="3" s="1"/>
  <c r="AA57" i="3"/>
  <c r="AD57" i="3" s="1"/>
  <c r="AA58" i="3"/>
  <c r="AD58" i="3" s="1"/>
  <c r="AA59" i="3"/>
  <c r="AD59" i="3" s="1"/>
  <c r="AA60" i="3"/>
  <c r="AD60" i="3" s="1"/>
  <c r="AA61" i="3"/>
  <c r="AD61" i="3" s="1"/>
  <c r="AA62" i="3"/>
  <c r="AD62" i="3" s="1"/>
  <c r="AA63" i="3"/>
  <c r="AD63" i="3" s="1"/>
  <c r="AA64" i="3"/>
  <c r="AD64" i="3" s="1"/>
  <c r="AA65" i="3"/>
  <c r="AD65" i="3" s="1"/>
  <c r="AA66" i="3"/>
  <c r="AD66" i="3" s="1"/>
  <c r="AA67" i="3"/>
  <c r="AD67" i="3" s="1"/>
  <c r="AA68" i="3"/>
  <c r="AD68" i="3" s="1"/>
  <c r="AA69" i="3"/>
  <c r="AD69" i="3" s="1"/>
  <c r="AA70" i="3"/>
  <c r="AD70" i="3" s="1"/>
  <c r="AA71" i="3"/>
  <c r="AD71" i="3" s="1"/>
  <c r="AA72" i="3"/>
  <c r="AD72" i="3" s="1"/>
  <c r="AA73" i="3"/>
  <c r="AD73" i="3" s="1"/>
  <c r="AA74" i="3"/>
  <c r="AD74" i="3" s="1"/>
  <c r="AA75" i="3"/>
  <c r="AD75" i="3" s="1"/>
  <c r="AA76" i="3"/>
  <c r="AD76" i="3" s="1"/>
  <c r="AA77" i="3"/>
  <c r="AD77" i="3" s="1"/>
  <c r="AA78" i="3"/>
  <c r="AD78" i="3" s="1"/>
  <c r="AA79" i="3"/>
  <c r="AD79" i="3" s="1"/>
  <c r="AA80" i="3"/>
  <c r="AD80" i="3" s="1"/>
  <c r="AA81" i="3"/>
  <c r="AD81" i="3" s="1"/>
  <c r="AA82" i="3"/>
  <c r="AD82" i="3" s="1"/>
  <c r="AA83" i="3"/>
  <c r="AD83" i="3" s="1"/>
  <c r="AA84" i="3"/>
  <c r="AD84" i="3" s="1"/>
  <c r="AA85" i="3"/>
  <c r="AD85" i="3" s="1"/>
  <c r="AA86" i="3"/>
  <c r="AD86" i="3" s="1"/>
  <c r="AA87" i="3"/>
  <c r="AD87" i="3" s="1"/>
  <c r="AA88" i="3"/>
  <c r="AD88" i="3" s="1"/>
  <c r="AA89" i="3"/>
  <c r="AD89" i="3" s="1"/>
  <c r="AA90" i="3"/>
  <c r="AD90" i="3" s="1"/>
  <c r="AA91" i="3"/>
  <c r="AD91" i="3" s="1"/>
  <c r="AA92" i="3"/>
  <c r="AD92" i="3" s="1"/>
  <c r="AA93" i="3"/>
  <c r="AD93" i="3" s="1"/>
  <c r="AA94" i="3"/>
  <c r="AD94" i="3" s="1"/>
  <c r="AA8" i="3"/>
  <c r="AD8" i="3" s="1"/>
  <c r="S75" i="3"/>
  <c r="U75" i="3" s="1"/>
  <c r="S91" i="3"/>
  <c r="U91" i="3" s="1"/>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8" i="3"/>
  <c r="P9" i="3"/>
  <c r="W9" i="3" s="1"/>
  <c r="P10" i="3"/>
  <c r="W10" i="3" s="1"/>
  <c r="P11" i="3"/>
  <c r="W11" i="3" s="1"/>
  <c r="P12" i="3"/>
  <c r="W12" i="3" s="1"/>
  <c r="P13" i="3"/>
  <c r="W13" i="3" s="1"/>
  <c r="P14" i="3"/>
  <c r="W14" i="3" s="1"/>
  <c r="P15" i="3"/>
  <c r="W15" i="3" s="1"/>
  <c r="P16" i="3"/>
  <c r="W16" i="3" s="1"/>
  <c r="P17" i="3"/>
  <c r="W17" i="3" s="1"/>
  <c r="P18" i="3"/>
  <c r="W18" i="3" s="1"/>
  <c r="P19" i="3"/>
  <c r="W19" i="3" s="1"/>
  <c r="P20" i="3"/>
  <c r="W20" i="3" s="1"/>
  <c r="P21" i="3"/>
  <c r="W21" i="3" s="1"/>
  <c r="P22" i="3"/>
  <c r="W22" i="3" s="1"/>
  <c r="P23" i="3"/>
  <c r="W23" i="3" s="1"/>
  <c r="P24" i="3"/>
  <c r="W24" i="3" s="1"/>
  <c r="P25" i="3"/>
  <c r="W25" i="3" s="1"/>
  <c r="P26" i="3"/>
  <c r="W26" i="3" s="1"/>
  <c r="P27" i="3"/>
  <c r="W27" i="3" s="1"/>
  <c r="P28" i="3"/>
  <c r="W28" i="3" s="1"/>
  <c r="P29" i="3"/>
  <c r="W29" i="3" s="1"/>
  <c r="P30" i="3"/>
  <c r="W30" i="3" s="1"/>
  <c r="P31" i="3"/>
  <c r="W31" i="3" s="1"/>
  <c r="P32" i="3"/>
  <c r="W32" i="3" s="1"/>
  <c r="P33" i="3"/>
  <c r="W33" i="3" s="1"/>
  <c r="P34" i="3"/>
  <c r="W34" i="3" s="1"/>
  <c r="P35" i="3"/>
  <c r="W35" i="3" s="1"/>
  <c r="P36" i="3"/>
  <c r="W36" i="3" s="1"/>
  <c r="P37" i="3"/>
  <c r="W37" i="3" s="1"/>
  <c r="P38" i="3"/>
  <c r="W38" i="3" s="1"/>
  <c r="P39" i="3"/>
  <c r="W39" i="3" s="1"/>
  <c r="P40" i="3"/>
  <c r="W40" i="3" s="1"/>
  <c r="P41" i="3"/>
  <c r="W41" i="3" s="1"/>
  <c r="P42" i="3"/>
  <c r="W42" i="3" s="1"/>
  <c r="P43" i="3"/>
  <c r="W43" i="3" s="1"/>
  <c r="P44" i="3"/>
  <c r="W44" i="3" s="1"/>
  <c r="P45" i="3"/>
  <c r="W45" i="3" s="1"/>
  <c r="P46" i="3"/>
  <c r="W46" i="3" s="1"/>
  <c r="P47" i="3"/>
  <c r="W47" i="3" s="1"/>
  <c r="P48" i="3"/>
  <c r="W48" i="3" s="1"/>
  <c r="P49" i="3"/>
  <c r="W49" i="3" s="1"/>
  <c r="P50" i="3"/>
  <c r="W50" i="3" s="1"/>
  <c r="P51" i="3"/>
  <c r="W51" i="3" s="1"/>
  <c r="P52" i="3"/>
  <c r="W52" i="3" s="1"/>
  <c r="P53" i="3"/>
  <c r="W53" i="3" s="1"/>
  <c r="P54" i="3"/>
  <c r="W54" i="3" s="1"/>
  <c r="P55" i="3"/>
  <c r="W55" i="3" s="1"/>
  <c r="P56" i="3"/>
  <c r="W56" i="3" s="1"/>
  <c r="P57" i="3"/>
  <c r="W57" i="3" s="1"/>
  <c r="P58" i="3"/>
  <c r="W58" i="3" s="1"/>
  <c r="P59" i="3"/>
  <c r="W59" i="3" s="1"/>
  <c r="P60" i="3"/>
  <c r="W60" i="3" s="1"/>
  <c r="P61" i="3"/>
  <c r="W61" i="3" s="1"/>
  <c r="P62" i="3"/>
  <c r="W62" i="3" s="1"/>
  <c r="P63" i="3"/>
  <c r="W63" i="3" s="1"/>
  <c r="P64" i="3"/>
  <c r="W64" i="3" s="1"/>
  <c r="P65" i="3"/>
  <c r="W65" i="3" s="1"/>
  <c r="P66" i="3"/>
  <c r="W66" i="3" s="1"/>
  <c r="P67" i="3"/>
  <c r="W67" i="3" s="1"/>
  <c r="P68" i="3"/>
  <c r="W68" i="3" s="1"/>
  <c r="P69" i="3"/>
  <c r="W69" i="3" s="1"/>
  <c r="P70" i="3"/>
  <c r="W70" i="3" s="1"/>
  <c r="P71" i="3"/>
  <c r="W71" i="3" s="1"/>
  <c r="P72" i="3"/>
  <c r="W72" i="3" s="1"/>
  <c r="P73" i="3"/>
  <c r="W73" i="3" s="1"/>
  <c r="P74" i="3"/>
  <c r="W74" i="3" s="1"/>
  <c r="P75" i="3"/>
  <c r="W75" i="3" s="1"/>
  <c r="P76" i="3"/>
  <c r="W76" i="3" s="1"/>
  <c r="P77" i="3"/>
  <c r="W77" i="3" s="1"/>
  <c r="P78" i="3"/>
  <c r="W78" i="3" s="1"/>
  <c r="P79" i="3"/>
  <c r="W79" i="3" s="1"/>
  <c r="P80" i="3"/>
  <c r="W80" i="3" s="1"/>
  <c r="P81" i="3"/>
  <c r="W81" i="3" s="1"/>
  <c r="P82" i="3"/>
  <c r="W82" i="3" s="1"/>
  <c r="P83" i="3"/>
  <c r="W83" i="3" s="1"/>
  <c r="P84" i="3"/>
  <c r="W84" i="3" s="1"/>
  <c r="P85" i="3"/>
  <c r="W85" i="3" s="1"/>
  <c r="P86" i="3"/>
  <c r="W86" i="3" s="1"/>
  <c r="P87" i="3"/>
  <c r="W87" i="3" s="1"/>
  <c r="P88" i="3"/>
  <c r="W88" i="3" s="1"/>
  <c r="P89" i="3"/>
  <c r="W89" i="3" s="1"/>
  <c r="P90" i="3"/>
  <c r="W90" i="3" s="1"/>
  <c r="P91" i="3"/>
  <c r="W91" i="3" s="1"/>
  <c r="P92" i="3"/>
  <c r="W92" i="3" s="1"/>
  <c r="P93" i="3"/>
  <c r="W93" i="3" s="1"/>
  <c r="P94" i="3"/>
  <c r="W94" i="3" s="1"/>
  <c r="P8" i="3"/>
  <c r="W8" i="3" s="1"/>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71" i="3"/>
  <c r="O72" i="3"/>
  <c r="O73" i="3"/>
  <c r="O74" i="3"/>
  <c r="O75" i="3"/>
  <c r="O78" i="3"/>
  <c r="O79" i="3"/>
  <c r="O80" i="3"/>
  <c r="O81" i="3"/>
  <c r="O82" i="3"/>
  <c r="O85" i="3"/>
  <c r="O86" i="3"/>
  <c r="O87" i="3"/>
  <c r="O88" i="3"/>
  <c r="O89" i="3"/>
  <c r="O92" i="3"/>
  <c r="O93" i="3"/>
  <c r="O94" i="3"/>
  <c r="O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8" i="3"/>
  <c r="G1" i="5"/>
  <c r="G1" i="4"/>
  <c r="G1" i="3"/>
  <c r="BN7" i="3"/>
  <c r="G1"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32" i="2"/>
  <c r="H32" i="2" s="1"/>
  <c r="G31" i="2"/>
  <c r="H31" i="2" s="1"/>
  <c r="G30" i="2"/>
  <c r="H30" i="2" s="1"/>
  <c r="G29" i="2"/>
  <c r="H29" i="2" s="1"/>
  <c r="G28" i="2"/>
  <c r="H28" i="2" s="1"/>
  <c r="G27" i="2"/>
  <c r="H27" i="2" s="1"/>
  <c r="Q25" i="2"/>
  <c r="Q24" i="2"/>
  <c r="Q23" i="2"/>
  <c r="Q22" i="2"/>
  <c r="Q21" i="2"/>
  <c r="Q20" i="2"/>
  <c r="Q19" i="2"/>
  <c r="Q18" i="2"/>
  <c r="Q17" i="2"/>
  <c r="Q16" i="2"/>
  <c r="Q15" i="2"/>
  <c r="K15" i="2"/>
  <c r="L15" i="2" s="1"/>
  <c r="Q14" i="2"/>
  <c r="K14" i="2"/>
  <c r="L14" i="2" s="1"/>
  <c r="Q13" i="2"/>
  <c r="L13" i="2"/>
  <c r="K13" i="2"/>
  <c r="AN39" i="8" l="1"/>
  <c r="AN45" i="8"/>
  <c r="AN9" i="8"/>
  <c r="AN36" i="8"/>
  <c r="AN21" i="8"/>
  <c r="AN33" i="8"/>
  <c r="AN27" i="8"/>
  <c r="AI8" i="8"/>
  <c r="AN28" i="8"/>
  <c r="AI28" i="8"/>
  <c r="AI17" i="8"/>
  <c r="AN17" i="8"/>
  <c r="AI38" i="8"/>
  <c r="AN38" i="8"/>
  <c r="AI19" i="8"/>
  <c r="AN19" i="8"/>
  <c r="AN23" i="8"/>
  <c r="AI23" i="8"/>
  <c r="AN43" i="8"/>
  <c r="AI43" i="8"/>
  <c r="AN44" i="8"/>
  <c r="AI44" i="8"/>
  <c r="AN12" i="8"/>
  <c r="AI12" i="8"/>
  <c r="AN29" i="8"/>
  <c r="AI29" i="8"/>
  <c r="AN49" i="8"/>
  <c r="AI49" i="8"/>
  <c r="AI25" i="8"/>
  <c r="AN25" i="8"/>
  <c r="AN47" i="8"/>
  <c r="AI47" i="8"/>
  <c r="AN18" i="8"/>
  <c r="AI18" i="8"/>
  <c r="AI42" i="8"/>
  <c r="AN42" i="8"/>
  <c r="AN16" i="8"/>
  <c r="AI16" i="8"/>
  <c r="AN35" i="8"/>
  <c r="AI35" i="8"/>
  <c r="AN24" i="8"/>
  <c r="AI24" i="8"/>
  <c r="AI41" i="8"/>
  <c r="AN41" i="8"/>
  <c r="AI31" i="8"/>
  <c r="AN31" i="8"/>
  <c r="AN30" i="8"/>
  <c r="AI30" i="8"/>
  <c r="AI14" i="8"/>
  <c r="AN14" i="8"/>
  <c r="AN15" i="8"/>
  <c r="AI15" i="8"/>
  <c r="AN22" i="8"/>
  <c r="AI22" i="8"/>
  <c r="AI26" i="8"/>
  <c r="AN26" i="8"/>
  <c r="AI13" i="8"/>
  <c r="AN13" i="8"/>
  <c r="AI10" i="8"/>
  <c r="AN10" i="8"/>
  <c r="AN46" i="8"/>
  <c r="AI46" i="8"/>
  <c r="AI48" i="8"/>
  <c r="AN48" i="8"/>
  <c r="AN40" i="8"/>
  <c r="AI40" i="8"/>
  <c r="AI20" i="8"/>
  <c r="AN20" i="8"/>
  <c r="AN11" i="8"/>
  <c r="AI11" i="8"/>
  <c r="AN34" i="8"/>
  <c r="AI34" i="8"/>
  <c r="AI32" i="8"/>
  <c r="AN32" i="8"/>
  <c r="AN37" i="8"/>
  <c r="AI37" i="8"/>
  <c r="AN68" i="8"/>
  <c r="AI68" i="8"/>
  <c r="AI50" i="8"/>
  <c r="AN50" i="8"/>
  <c r="AN67" i="8"/>
  <c r="AI67" i="8"/>
  <c r="AN51" i="8"/>
  <c r="AI51" i="8"/>
  <c r="AN56" i="8"/>
  <c r="AI56" i="8"/>
  <c r="AI53" i="8"/>
  <c r="AN53" i="8"/>
  <c r="AI58" i="8"/>
  <c r="AN58" i="8"/>
  <c r="AN54" i="8"/>
  <c r="AI54" i="8"/>
  <c r="AN59" i="8"/>
  <c r="AI59" i="8"/>
  <c r="AI55" i="8"/>
  <c r="AN55" i="8"/>
  <c r="AN60" i="8"/>
  <c r="AI60" i="8"/>
  <c r="AN63" i="8"/>
  <c r="AI63" i="8"/>
  <c r="AI57" i="8"/>
  <c r="AN57" i="8"/>
  <c r="AN62" i="8"/>
  <c r="AI62" i="8"/>
  <c r="AN70" i="8"/>
  <c r="AI70" i="8"/>
  <c r="AI64" i="8"/>
  <c r="AN64" i="8"/>
  <c r="AI69" i="8"/>
  <c r="AN69" i="8"/>
  <c r="AN52" i="8"/>
  <c r="AI52" i="8"/>
  <c r="AI66" i="8"/>
  <c r="AN66" i="8"/>
  <c r="AN61" i="8"/>
  <c r="AI61" i="8"/>
  <c r="AN65" i="8"/>
  <c r="AI65" i="8"/>
  <c r="S92" i="3"/>
  <c r="U92" i="3" s="1"/>
  <c r="S57" i="3"/>
  <c r="U57" i="3" s="1"/>
  <c r="S33" i="3"/>
  <c r="U33" i="3" s="1"/>
  <c r="S43" i="3"/>
  <c r="U43" i="3" s="1"/>
  <c r="S27" i="3"/>
  <c r="U27" i="3" s="1"/>
  <c r="V27" i="3" s="1"/>
  <c r="S90" i="3"/>
  <c r="U90" i="3" s="1"/>
  <c r="V90" i="3" s="1"/>
  <c r="S82" i="3"/>
  <c r="U82" i="3" s="1"/>
  <c r="V82" i="3" s="1"/>
  <c r="S74" i="3"/>
  <c r="U74" i="3" s="1"/>
  <c r="V74" i="3" s="1"/>
  <c r="S66" i="3"/>
  <c r="U66" i="3" s="1"/>
  <c r="V66" i="3" s="1"/>
  <c r="S50" i="3"/>
  <c r="U50" i="3" s="1"/>
  <c r="V50" i="3" s="1"/>
  <c r="S42" i="3"/>
  <c r="U42" i="3" s="1"/>
  <c r="V42" i="3" s="1"/>
  <c r="S26" i="3"/>
  <c r="U26" i="3" s="1"/>
  <c r="V26" i="3" s="1"/>
  <c r="S18" i="3"/>
  <c r="U18" i="3" s="1"/>
  <c r="V18" i="3" s="1"/>
  <c r="S10" i="3"/>
  <c r="U10" i="3" s="1"/>
  <c r="V10" i="3" s="1"/>
  <c r="V33" i="3"/>
  <c r="S73" i="3"/>
  <c r="U73" i="3" s="1"/>
  <c r="V73" i="3" s="1"/>
  <c r="S94" i="3"/>
  <c r="U94" i="3" s="1"/>
  <c r="S86" i="3"/>
  <c r="U86" i="3" s="1"/>
  <c r="V86" i="3" s="1"/>
  <c r="S78" i="3"/>
  <c r="U78" i="3" s="1"/>
  <c r="V78" i="3" s="1"/>
  <c r="S70" i="3"/>
  <c r="U70" i="3" s="1"/>
  <c r="V70" i="3" s="1"/>
  <c r="S89" i="3"/>
  <c r="U89" i="3" s="1"/>
  <c r="V89" i="3" s="1"/>
  <c r="S17" i="3"/>
  <c r="U17" i="3" s="1"/>
  <c r="V17" i="3" s="1"/>
  <c r="S84" i="3"/>
  <c r="U84" i="3" s="1"/>
  <c r="V84" i="3" s="1"/>
  <c r="S76" i="3"/>
  <c r="U76" i="3" s="1"/>
  <c r="V76" i="3" s="1"/>
  <c r="S68" i="3"/>
  <c r="U68" i="3" s="1"/>
  <c r="S60" i="3"/>
  <c r="U60" i="3" s="1"/>
  <c r="V60" i="3" s="1"/>
  <c r="S52" i="3"/>
  <c r="U52" i="3" s="1"/>
  <c r="V52" i="3" s="1"/>
  <c r="S44" i="3"/>
  <c r="U44" i="3" s="1"/>
  <c r="V44" i="3" s="1"/>
  <c r="S36" i="3"/>
  <c r="U36" i="3" s="1"/>
  <c r="V36" i="3" s="1"/>
  <c r="S28" i="3"/>
  <c r="U28" i="3" s="1"/>
  <c r="V28" i="3" s="1"/>
  <c r="S20" i="3"/>
  <c r="U20" i="3" s="1"/>
  <c r="V20" i="3" s="1"/>
  <c r="S12" i="3"/>
  <c r="U12" i="3" s="1"/>
  <c r="V12" i="3" s="1"/>
  <c r="S81" i="3"/>
  <c r="U81" i="3" s="1"/>
  <c r="V81" i="3" s="1"/>
  <c r="S41" i="3"/>
  <c r="U41" i="3" s="1"/>
  <c r="V41" i="3" s="1"/>
  <c r="S11" i="3"/>
  <c r="U11" i="3" s="1"/>
  <c r="V11" i="3" s="1"/>
  <c r="S58" i="3"/>
  <c r="U58" i="3" s="1"/>
  <c r="V58" i="3" s="1"/>
  <c r="S34" i="3"/>
  <c r="U34" i="3" s="1"/>
  <c r="V34" i="3" s="1"/>
  <c r="S49" i="3"/>
  <c r="U49" i="3" s="1"/>
  <c r="V49" i="3" s="1"/>
  <c r="S9" i="3"/>
  <c r="U9" i="3" s="1"/>
  <c r="V9" i="3" s="1"/>
  <c r="S80" i="3"/>
  <c r="U80" i="3" s="1"/>
  <c r="V80" i="3" s="1"/>
  <c r="S72" i="3"/>
  <c r="U72" i="3" s="1"/>
  <c r="V72" i="3" s="1"/>
  <c r="S8" i="3"/>
  <c r="U8" i="3" s="1"/>
  <c r="V8" i="3" s="1"/>
  <c r="S87" i="3"/>
  <c r="U87" i="3" s="1"/>
  <c r="V87" i="3" s="1"/>
  <c r="S79" i="3"/>
  <c r="U79" i="3" s="1"/>
  <c r="V79" i="3" s="1"/>
  <c r="S71" i="3"/>
  <c r="U71" i="3" s="1"/>
  <c r="V71" i="3" s="1"/>
  <c r="S63" i="3"/>
  <c r="U63" i="3" s="1"/>
  <c r="V63" i="3" s="1"/>
  <c r="S55" i="3"/>
  <c r="U55" i="3" s="1"/>
  <c r="V55" i="3" s="1"/>
  <c r="S47" i="3"/>
  <c r="U47" i="3" s="1"/>
  <c r="V47" i="3" s="1"/>
  <c r="S39" i="3"/>
  <c r="U39" i="3" s="1"/>
  <c r="S31" i="3"/>
  <c r="U31" i="3" s="1"/>
  <c r="S23" i="3"/>
  <c r="U23" i="3" s="1"/>
  <c r="V23" i="3" s="1"/>
  <c r="S15" i="3"/>
  <c r="U15" i="3" s="1"/>
  <c r="V15" i="3" s="1"/>
  <c r="S65" i="3"/>
  <c r="U65" i="3" s="1"/>
  <c r="V65" i="3" s="1"/>
  <c r="S25" i="3"/>
  <c r="U25" i="3" s="1"/>
  <c r="V25" i="3" s="1"/>
  <c r="S88" i="3"/>
  <c r="U88" i="3" s="1"/>
  <c r="V88" i="3" s="1"/>
  <c r="S83" i="3"/>
  <c r="U83" i="3" s="1"/>
  <c r="V83" i="3" s="1"/>
  <c r="S67" i="3"/>
  <c r="U67" i="3" s="1"/>
  <c r="V67" i="3" s="1"/>
  <c r="S59" i="3"/>
  <c r="U59" i="3" s="1"/>
  <c r="V59" i="3" s="1"/>
  <c r="S51" i="3"/>
  <c r="U51" i="3" s="1"/>
  <c r="V51" i="3" s="1"/>
  <c r="S35" i="3"/>
  <c r="U35" i="3" s="1"/>
  <c r="V35" i="3" s="1"/>
  <c r="S19" i="3"/>
  <c r="U19" i="3" s="1"/>
  <c r="V19" i="3" s="1"/>
  <c r="V57" i="3"/>
  <c r="S64" i="3"/>
  <c r="U64" i="3" s="1"/>
  <c r="V64" i="3" s="1"/>
  <c r="S56" i="3"/>
  <c r="U56" i="3" s="1"/>
  <c r="V56" i="3" s="1"/>
  <c r="S48" i="3"/>
  <c r="U48" i="3" s="1"/>
  <c r="V48" i="3" s="1"/>
  <c r="S40" i="3"/>
  <c r="U40" i="3" s="1"/>
  <c r="V40" i="3" s="1"/>
  <c r="S32" i="3"/>
  <c r="U32" i="3" s="1"/>
  <c r="V32" i="3" s="1"/>
  <c r="S24" i="3"/>
  <c r="U24" i="3" s="1"/>
  <c r="V24" i="3" s="1"/>
  <c r="S16" i="3"/>
  <c r="U16" i="3" s="1"/>
  <c r="V16" i="3" s="1"/>
  <c r="S62" i="3"/>
  <c r="U62" i="3" s="1"/>
  <c r="V62" i="3" s="1"/>
  <c r="S46" i="3"/>
  <c r="U46" i="3" s="1"/>
  <c r="V46" i="3" s="1"/>
  <c r="S38" i="3"/>
  <c r="U38" i="3" s="1"/>
  <c r="V38" i="3" s="1"/>
  <c r="S30" i="3"/>
  <c r="U30" i="3" s="1"/>
  <c r="V30" i="3" s="1"/>
  <c r="S14" i="3"/>
  <c r="U14" i="3" s="1"/>
  <c r="V14" i="3" s="1"/>
  <c r="S54" i="3"/>
  <c r="U54" i="3" s="1"/>
  <c r="V54" i="3" s="1"/>
  <c r="S22" i="3"/>
  <c r="U22" i="3" s="1"/>
  <c r="V22" i="3" s="1"/>
  <c r="V75" i="3"/>
  <c r="V43" i="3"/>
  <c r="V92" i="3"/>
  <c r="V68" i="3"/>
  <c r="AE16" i="3"/>
  <c r="AF16" i="3" s="1"/>
  <c r="V91" i="3"/>
  <c r="V39" i="3"/>
  <c r="V31" i="3"/>
  <c r="S93" i="3"/>
  <c r="U93" i="3" s="1"/>
  <c r="V93" i="3" s="1"/>
  <c r="S85" i="3"/>
  <c r="U85" i="3" s="1"/>
  <c r="V85" i="3" s="1"/>
  <c r="S77" i="3"/>
  <c r="U77" i="3" s="1"/>
  <c r="V77" i="3" s="1"/>
  <c r="S69" i="3"/>
  <c r="U69" i="3" s="1"/>
  <c r="V69" i="3" s="1"/>
  <c r="S61" i="3"/>
  <c r="U61" i="3" s="1"/>
  <c r="V61" i="3" s="1"/>
  <c r="S53" i="3"/>
  <c r="U53" i="3" s="1"/>
  <c r="V53" i="3" s="1"/>
  <c r="S45" i="3"/>
  <c r="U45" i="3" s="1"/>
  <c r="V45" i="3" s="1"/>
  <c r="S37" i="3"/>
  <c r="U37" i="3" s="1"/>
  <c r="V37" i="3" s="1"/>
  <c r="S29" i="3"/>
  <c r="U29" i="3" s="1"/>
  <c r="V29" i="3" s="1"/>
  <c r="S21" i="3"/>
  <c r="U21" i="3" s="1"/>
  <c r="V21" i="3" s="1"/>
  <c r="S13" i="3"/>
  <c r="U13" i="3" s="1"/>
  <c r="V13" i="3" s="1"/>
  <c r="AE38" i="3"/>
  <c r="AF38" i="3" s="1"/>
  <c r="AE74" i="3"/>
  <c r="AF74" i="3" s="1"/>
  <c r="AE19" i="3"/>
  <c r="AF19" i="3" s="1"/>
  <c r="AE47" i="3"/>
  <c r="AF47" i="3" s="1"/>
  <c r="AE93" i="3"/>
  <c r="AF93" i="3" s="1"/>
  <c r="AE10" i="3"/>
  <c r="AF10" i="3" s="1"/>
  <c r="AE56" i="3"/>
  <c r="AF56" i="3" s="1"/>
  <c r="AE83" i="3"/>
  <c r="AE11" i="3"/>
  <c r="AF11" i="3" s="1"/>
  <c r="AE21" i="3"/>
  <c r="AF21" i="3" s="1"/>
  <c r="AE30" i="3"/>
  <c r="AF30" i="3" s="1"/>
  <c r="AE39" i="3"/>
  <c r="AF39" i="3" s="1"/>
  <c r="AE48" i="3"/>
  <c r="AF48" i="3" s="1"/>
  <c r="AE57" i="3"/>
  <c r="AF57" i="3" s="1"/>
  <c r="AE66" i="3"/>
  <c r="AF66" i="3" s="1"/>
  <c r="AE75" i="3"/>
  <c r="AF75" i="3" s="1"/>
  <c r="AE85" i="3"/>
  <c r="AF85" i="3" s="1"/>
  <c r="AE94" i="3"/>
  <c r="AF94" i="3" s="1"/>
  <c r="AE13" i="3"/>
  <c r="AF13" i="3" s="1"/>
  <c r="AE22" i="3"/>
  <c r="AF22" i="3" s="1"/>
  <c r="AE31" i="3"/>
  <c r="AF31" i="3" s="1"/>
  <c r="AE40" i="3"/>
  <c r="AF40" i="3" s="1"/>
  <c r="AE49" i="3"/>
  <c r="AF49" i="3" s="1"/>
  <c r="AE58" i="3"/>
  <c r="AF58" i="3" s="1"/>
  <c r="AE67" i="3"/>
  <c r="AF67" i="3" s="1"/>
  <c r="AE77" i="3"/>
  <c r="AE86" i="3"/>
  <c r="AF86" i="3" s="1"/>
  <c r="AE8" i="3"/>
  <c r="AF8" i="3" s="1"/>
  <c r="AE14" i="3"/>
  <c r="AF14" i="3" s="1"/>
  <c r="AE23" i="3"/>
  <c r="AF23" i="3" s="1"/>
  <c r="AE32" i="3"/>
  <c r="AF32" i="3" s="1"/>
  <c r="AE41" i="3"/>
  <c r="AF41" i="3" s="1"/>
  <c r="AE50" i="3"/>
  <c r="AF50" i="3" s="1"/>
  <c r="AE59" i="3"/>
  <c r="AF59" i="3" s="1"/>
  <c r="AE69" i="3"/>
  <c r="AE78" i="3"/>
  <c r="AF78" i="3" s="1"/>
  <c r="AE87" i="3"/>
  <c r="AF87" i="3" s="1"/>
  <c r="AE15" i="3"/>
  <c r="AF15" i="3" s="1"/>
  <c r="AE24" i="3"/>
  <c r="AF24" i="3" s="1"/>
  <c r="AE33" i="3"/>
  <c r="AF33" i="3" s="1"/>
  <c r="AE42" i="3"/>
  <c r="AF42" i="3" s="1"/>
  <c r="AE51" i="3"/>
  <c r="AF51" i="3" s="1"/>
  <c r="AE61" i="3"/>
  <c r="AF61" i="3" s="1"/>
  <c r="AE70" i="3"/>
  <c r="AE79" i="3"/>
  <c r="AF79" i="3" s="1"/>
  <c r="AE88" i="3"/>
  <c r="AF88" i="3" s="1"/>
  <c r="AE29" i="3"/>
  <c r="AF29" i="3" s="1"/>
  <c r="AE65" i="3"/>
  <c r="AF65" i="3" s="1"/>
  <c r="V94" i="3"/>
  <c r="AE12" i="3"/>
  <c r="AF12" i="3" s="1"/>
  <c r="BH16" i="3"/>
  <c r="BH24" i="3"/>
  <c r="BH32" i="3"/>
  <c r="BH40" i="3"/>
  <c r="BH48" i="3"/>
  <c r="BH56" i="3"/>
  <c r="BH64" i="3"/>
  <c r="BH72" i="3"/>
  <c r="BH80" i="3"/>
  <c r="BH88" i="3"/>
  <c r="BH10" i="3"/>
  <c r="BH18" i="3"/>
  <c r="BH26" i="3"/>
  <c r="BH34" i="3"/>
  <c r="BH42" i="3"/>
  <c r="BH50" i="3"/>
  <c r="BH58" i="3"/>
  <c r="BH66" i="3"/>
  <c r="BH74" i="3"/>
  <c r="BH82" i="3"/>
  <c r="BH90" i="3"/>
  <c r="AE91" i="3"/>
  <c r="AE82" i="3"/>
  <c r="AF82" i="3" s="1"/>
  <c r="AE73" i="3"/>
  <c r="AF73" i="3" s="1"/>
  <c r="AE64" i="3"/>
  <c r="AF64" i="3" s="1"/>
  <c r="AE55" i="3"/>
  <c r="AF55" i="3" s="1"/>
  <c r="AE46" i="3"/>
  <c r="AF46" i="3" s="1"/>
  <c r="AE37" i="3"/>
  <c r="AF37" i="3" s="1"/>
  <c r="AE27" i="3"/>
  <c r="AF27" i="3" s="1"/>
  <c r="AE18" i="3"/>
  <c r="AF18" i="3" s="1"/>
  <c r="AE9" i="3"/>
  <c r="AF9" i="3" s="1"/>
  <c r="AE90" i="3"/>
  <c r="AE81" i="3"/>
  <c r="AF81" i="3" s="1"/>
  <c r="AE72" i="3"/>
  <c r="AF72" i="3" s="1"/>
  <c r="AE63" i="3"/>
  <c r="AF63" i="3" s="1"/>
  <c r="AE54" i="3"/>
  <c r="AF54" i="3" s="1"/>
  <c r="AE45" i="3"/>
  <c r="AF45" i="3" s="1"/>
  <c r="AE35" i="3"/>
  <c r="AF35" i="3" s="1"/>
  <c r="AE26" i="3"/>
  <c r="AF26" i="3" s="1"/>
  <c r="AE17" i="3"/>
  <c r="AF17" i="3" s="1"/>
  <c r="AE89" i="3"/>
  <c r="AF89" i="3" s="1"/>
  <c r="AE80" i="3"/>
  <c r="AF80" i="3" s="1"/>
  <c r="AE71" i="3"/>
  <c r="AF71" i="3" s="1"/>
  <c r="AE62" i="3"/>
  <c r="AF62" i="3" s="1"/>
  <c r="AE53" i="3"/>
  <c r="AF53" i="3" s="1"/>
  <c r="AE43" i="3"/>
  <c r="AF43" i="3" s="1"/>
  <c r="AE34" i="3"/>
  <c r="AF34" i="3" s="1"/>
  <c r="AE25" i="3"/>
  <c r="AF25" i="3" s="1"/>
  <c r="BH13" i="3"/>
  <c r="AE92" i="3"/>
  <c r="AF92" i="3" s="1"/>
  <c r="AE84" i="3"/>
  <c r="AE76" i="3"/>
  <c r="AE68" i="3"/>
  <c r="AF68" i="3" s="1"/>
  <c r="AE60" i="3"/>
  <c r="AF60" i="3" s="1"/>
  <c r="AE52" i="3"/>
  <c r="AF52" i="3" s="1"/>
  <c r="AE44" i="3"/>
  <c r="AF44" i="3" s="1"/>
  <c r="AE36" i="3"/>
  <c r="AF36" i="3" s="1"/>
  <c r="AE28" i="3"/>
  <c r="AF28" i="3" s="1"/>
  <c r="AE20" i="3"/>
  <c r="AF20" i="3" s="1"/>
  <c r="BH92" i="3"/>
  <c r="BH84" i="3"/>
  <c r="BH76" i="3"/>
  <c r="BH68" i="3"/>
  <c r="BH60" i="3"/>
  <c r="BH52" i="3"/>
  <c r="BH44" i="3"/>
  <c r="BH36" i="3"/>
  <c r="BH28" i="3"/>
  <c r="BH20" i="3"/>
  <c r="BH12" i="3"/>
  <c r="BH91" i="3"/>
  <c r="BH83" i="3"/>
  <c r="BH75" i="3"/>
  <c r="BH67" i="3"/>
  <c r="BH59" i="3"/>
  <c r="BH51" i="3"/>
  <c r="BH43" i="3"/>
  <c r="BH35" i="3"/>
  <c r="BH27" i="3"/>
  <c r="BH19" i="3"/>
  <c r="BH11" i="3"/>
  <c r="BH89" i="3"/>
  <c r="BH81" i="3"/>
  <c r="BH73" i="3"/>
  <c r="BH65" i="3"/>
  <c r="BH57" i="3"/>
  <c r="BH49" i="3"/>
  <c r="BH41" i="3"/>
  <c r="BH33" i="3"/>
  <c r="BH25" i="3"/>
  <c r="BH17" i="3"/>
  <c r="BH9" i="3"/>
  <c r="BH8" i="3"/>
  <c r="BH87" i="3"/>
  <c r="BH79" i="3"/>
  <c r="BH71" i="3"/>
  <c r="BH63" i="3"/>
  <c r="BH55" i="3"/>
  <c r="BH47" i="3"/>
  <c r="BH39" i="3"/>
  <c r="BH31" i="3"/>
  <c r="BH23" i="3"/>
  <c r="BH15" i="3"/>
  <c r="BH94" i="3"/>
  <c r="BH86" i="3"/>
  <c r="BH78" i="3"/>
  <c r="BH70" i="3"/>
  <c r="BH62" i="3"/>
  <c r="BH54" i="3"/>
  <c r="BH46" i="3"/>
  <c r="BH38" i="3"/>
  <c r="BH30" i="3"/>
  <c r="BH22" i="3"/>
  <c r="BH14" i="3"/>
  <c r="BH93" i="3"/>
  <c r="BH85" i="3"/>
  <c r="BH77" i="3"/>
  <c r="BH69" i="3"/>
  <c r="BH61" i="3"/>
  <c r="BH53" i="3"/>
  <c r="BH45" i="3"/>
  <c r="BH37" i="3"/>
  <c r="BH29" i="3"/>
  <c r="BH21" i="3"/>
  <c r="BI61" i="3" l="1"/>
  <c r="BO61" i="3"/>
  <c r="BO49" i="3"/>
  <c r="BI49" i="3"/>
  <c r="BI68" i="3"/>
  <c r="BO68" i="3"/>
  <c r="BI87" i="3"/>
  <c r="BO87" i="3"/>
  <c r="BO77" i="3"/>
  <c r="BI8" i="3"/>
  <c r="BO8" i="3"/>
  <c r="BO43" i="3"/>
  <c r="BI43" i="3"/>
  <c r="BO90" i="3"/>
  <c r="BI53" i="3"/>
  <c r="BO53" i="3"/>
  <c r="BI30" i="3"/>
  <c r="BO30" i="3"/>
  <c r="BI94" i="3"/>
  <c r="BO94" i="3"/>
  <c r="BI71" i="3"/>
  <c r="BO71" i="3"/>
  <c r="BO41" i="3"/>
  <c r="BI41" i="3"/>
  <c r="BO19" i="3"/>
  <c r="BI19" i="3"/>
  <c r="BO83" i="3"/>
  <c r="BI60" i="3"/>
  <c r="BO60" i="3"/>
  <c r="BO50" i="3"/>
  <c r="BI50" i="3"/>
  <c r="BI72" i="3"/>
  <c r="BO72" i="3"/>
  <c r="BI38" i="3"/>
  <c r="BO38" i="3"/>
  <c r="BO27" i="3"/>
  <c r="BI27" i="3"/>
  <c r="BO42" i="3"/>
  <c r="BI42" i="3"/>
  <c r="BI23" i="3"/>
  <c r="BO23" i="3"/>
  <c r="BI12" i="3"/>
  <c r="BO12" i="3"/>
  <c r="BO34" i="3"/>
  <c r="BI34" i="3"/>
  <c r="BI54" i="3"/>
  <c r="BO54" i="3"/>
  <c r="BI20" i="3"/>
  <c r="BO20" i="3"/>
  <c r="BI21" i="3"/>
  <c r="BO21" i="3"/>
  <c r="BI39" i="3"/>
  <c r="BO39" i="3"/>
  <c r="BO51" i="3"/>
  <c r="BI51" i="3"/>
  <c r="BI28" i="3"/>
  <c r="BO28" i="3"/>
  <c r="BO18" i="3"/>
  <c r="BI18" i="3"/>
  <c r="BI29" i="3"/>
  <c r="BO29" i="3"/>
  <c r="BO70" i="3"/>
  <c r="BI47" i="3"/>
  <c r="BO47" i="3"/>
  <c r="BO17" i="3"/>
  <c r="BI17" i="3"/>
  <c r="BO59" i="3"/>
  <c r="BI59" i="3"/>
  <c r="BI36" i="3"/>
  <c r="BO36" i="3"/>
  <c r="BO74" i="3"/>
  <c r="BI74" i="3"/>
  <c r="BO10" i="3"/>
  <c r="BI10" i="3"/>
  <c r="BI32" i="3"/>
  <c r="BO32" i="3"/>
  <c r="BI79" i="3"/>
  <c r="BO79" i="3"/>
  <c r="BO69" i="3"/>
  <c r="BO57" i="3"/>
  <c r="BI57" i="3"/>
  <c r="BO76" i="3"/>
  <c r="BI31" i="3"/>
  <c r="BO31" i="3"/>
  <c r="BO84" i="3"/>
  <c r="BI48" i="3"/>
  <c r="BO48" i="3"/>
  <c r="BI62" i="3"/>
  <c r="BO62" i="3"/>
  <c r="BO73" i="3"/>
  <c r="BI73" i="3"/>
  <c r="BI92" i="3"/>
  <c r="BO92" i="3"/>
  <c r="BI40" i="3"/>
  <c r="BO40" i="3"/>
  <c r="BO25" i="3"/>
  <c r="BI25" i="3"/>
  <c r="BO66" i="3"/>
  <c r="BI66" i="3"/>
  <c r="BI88" i="3"/>
  <c r="BO88" i="3"/>
  <c r="BI24" i="3"/>
  <c r="BO24" i="3"/>
  <c r="BI15" i="3"/>
  <c r="BO15" i="3"/>
  <c r="BO91" i="3"/>
  <c r="BI64" i="3"/>
  <c r="BO64" i="3"/>
  <c r="BI46" i="3"/>
  <c r="BO46" i="3"/>
  <c r="BO35" i="3"/>
  <c r="BI35" i="3"/>
  <c r="BI56" i="3"/>
  <c r="BO56" i="3"/>
  <c r="BO65" i="3"/>
  <c r="BI65" i="3"/>
  <c r="BO26" i="3"/>
  <c r="BI26" i="3"/>
  <c r="BI85" i="3"/>
  <c r="BO85" i="3"/>
  <c r="BO9" i="3"/>
  <c r="BI9" i="3"/>
  <c r="BO82" i="3"/>
  <c r="BI82" i="3"/>
  <c r="BI93" i="3"/>
  <c r="BO93" i="3"/>
  <c r="BO81" i="3"/>
  <c r="BI81" i="3"/>
  <c r="BI37" i="3"/>
  <c r="BO37" i="3"/>
  <c r="BI14" i="3"/>
  <c r="BO14" i="3"/>
  <c r="BI78" i="3"/>
  <c r="BO78" i="3"/>
  <c r="BI55" i="3"/>
  <c r="BO55" i="3"/>
  <c r="BO89" i="3"/>
  <c r="BI89" i="3"/>
  <c r="BO67" i="3"/>
  <c r="BI67" i="3"/>
  <c r="BI44" i="3"/>
  <c r="BO44" i="3"/>
  <c r="BI45" i="3"/>
  <c r="BO45" i="3"/>
  <c r="BI22" i="3"/>
  <c r="BO22" i="3"/>
  <c r="BI86" i="3"/>
  <c r="BO86" i="3"/>
  <c r="BI63" i="3"/>
  <c r="BO63" i="3"/>
  <c r="BO33" i="3"/>
  <c r="BI33" i="3"/>
  <c r="BO11" i="3"/>
  <c r="BI11" i="3"/>
  <c r="BO75" i="3"/>
  <c r="BI75" i="3"/>
  <c r="BI52" i="3"/>
  <c r="BO52" i="3"/>
  <c r="BI13" i="3"/>
  <c r="BO13" i="3"/>
  <c r="BO58" i="3"/>
  <c r="BI58" i="3"/>
  <c r="BI80" i="3"/>
  <c r="BO80" i="3"/>
  <c r="BI16" i="3"/>
  <c r="BO1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bnixon</author>
  </authors>
  <commentList>
    <comment ref="B9" authorId="0" shapeId="0" xr:uid="{74AA9721-15F8-418F-826B-3596CD9DCCCC}">
      <text>
        <r>
          <rPr>
            <b/>
            <sz val="9"/>
            <color indexed="81"/>
            <rFont val="Tahoma"/>
            <family val="2"/>
          </rPr>
          <t>bnixon:</t>
        </r>
        <r>
          <rPr>
            <sz val="9"/>
            <color indexed="81"/>
            <rFont val="Tahoma"/>
            <family val="2"/>
          </rPr>
          <t xml:space="preserve">
This is optional</t>
        </r>
      </text>
    </comment>
    <comment ref="A46" authorId="0" shapeId="0" xr:uid="{0B16144B-5F0C-446E-A501-CEA7B9DA3E11}">
      <text>
        <r>
          <rPr>
            <b/>
            <sz val="9"/>
            <color indexed="81"/>
            <rFont val="Tahoma"/>
            <family val="2"/>
          </rPr>
          <t>bnixon:</t>
        </r>
        <r>
          <rPr>
            <sz val="9"/>
            <color indexed="81"/>
            <rFont val="Tahoma"/>
            <family val="2"/>
          </rPr>
          <t xml:space="preserve">
Optional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bnixon</author>
  </authors>
  <commentList>
    <comment ref="D7" authorId="0" shapeId="0" xr:uid="{C777CA53-1C21-3F46-96A4-AE188EECD42E}">
      <text>
        <r>
          <rPr>
            <b/>
            <sz val="9"/>
            <color rgb="FF000000"/>
            <rFont val="Tahoma"/>
            <family val="2"/>
          </rPr>
          <t>bnixon:</t>
        </r>
        <r>
          <rPr>
            <sz val="9"/>
            <color rgb="FF000000"/>
            <rFont val="Tahoma"/>
            <family val="2"/>
          </rPr>
          <t xml:space="preserve">
</t>
        </r>
        <r>
          <rPr>
            <sz val="9"/>
            <color rgb="FF000000"/>
            <rFont val="Tahoma"/>
            <family val="2"/>
          </rPr>
          <t>The number of the Day of the week (Sunday = 1)</t>
        </r>
      </text>
    </comment>
    <comment ref="Q7" authorId="0" shapeId="0" xr:uid="{9BCC3051-69EC-C947-B403-C5618E65D663}">
      <text>
        <r>
          <rPr>
            <b/>
            <sz val="9"/>
            <color rgb="FF000000"/>
            <rFont val="Tahoma"/>
            <family val="2"/>
          </rPr>
          <t>bnixon:</t>
        </r>
        <r>
          <rPr>
            <sz val="9"/>
            <color rgb="FF000000"/>
            <rFont val="Tahoma"/>
            <family val="2"/>
          </rPr>
          <t xml:space="preserve">
</t>
        </r>
        <r>
          <rPr>
            <sz val="9"/>
            <color rgb="FF000000"/>
            <rFont val="Tahoma"/>
            <family val="2"/>
          </rPr>
          <t>Use Vlookup() to get this value from other lists sheet and parts table</t>
        </r>
      </text>
    </comment>
    <comment ref="T7" authorId="0" shapeId="0" xr:uid="{92A7E10C-5583-7542-A239-9C1615CCC091}">
      <text>
        <r>
          <rPr>
            <b/>
            <sz val="9"/>
            <color rgb="FF000000"/>
            <rFont val="Tahoma"/>
            <family val="2"/>
          </rPr>
          <t>bnixon:</t>
        </r>
        <r>
          <rPr>
            <sz val="9"/>
            <color rgb="FF000000"/>
            <rFont val="Tahoma"/>
            <family val="2"/>
          </rPr>
          <t xml:space="preserve">
</t>
        </r>
        <r>
          <rPr>
            <sz val="9"/>
            <color rgb="FF000000"/>
            <rFont val="Tahoma"/>
            <family val="2"/>
          </rPr>
          <t>Use Vlookup() to get this value from other lists sheet and parts table</t>
        </r>
      </text>
    </comment>
    <comment ref="U7" authorId="0" shapeId="0" xr:uid="{0CA1A58A-AC51-4D4C-845E-0B5FB9F70DC0}">
      <text>
        <r>
          <rPr>
            <b/>
            <sz val="9"/>
            <color rgb="FF000000"/>
            <rFont val="Tahoma"/>
            <family val="2"/>
          </rPr>
          <t>bnixon:</t>
        </r>
        <r>
          <rPr>
            <sz val="9"/>
            <color rgb="FF000000"/>
            <rFont val="Tahoma"/>
            <family val="2"/>
          </rPr>
          <t xml:space="preserve">
</t>
        </r>
        <r>
          <rPr>
            <sz val="9"/>
            <color rgb="FF000000"/>
            <rFont val="Tahoma"/>
            <family val="2"/>
          </rPr>
          <t xml:space="preserve">Supplier's Income = Parts that Pass * Part Sell For
</t>
        </r>
      </text>
    </comment>
    <comment ref="V7" authorId="0" shapeId="0" xr:uid="{E86010D5-F6FB-134A-93A8-B53795B2AC9B}">
      <text>
        <r>
          <rPr>
            <b/>
            <sz val="9"/>
            <color rgb="FF000000"/>
            <rFont val="Tahoma"/>
            <family val="2"/>
          </rPr>
          <t>bnixon:</t>
        </r>
        <r>
          <rPr>
            <sz val="9"/>
            <color rgb="FF000000"/>
            <rFont val="Tahoma"/>
            <family val="2"/>
          </rPr>
          <t xml:space="preserve">
</t>
        </r>
        <r>
          <rPr>
            <sz val="9"/>
            <color rgb="FF000000"/>
            <rFont val="Tahoma"/>
            <family val="2"/>
          </rPr>
          <t>Total of 2 Supplier Costs for Inspected Part * # of Received Parts (Passed or Failed)</t>
        </r>
      </text>
    </comment>
    <comment ref="W7" authorId="0" shapeId="0" xr:uid="{FDDD3248-A22B-EB4B-881C-24F18FC62D14}">
      <text>
        <r>
          <rPr>
            <b/>
            <sz val="9"/>
            <color rgb="FF000000"/>
            <rFont val="Tahoma"/>
            <family val="2"/>
          </rPr>
          <t>bnixon:</t>
        </r>
        <r>
          <rPr>
            <sz val="9"/>
            <color rgb="FF000000"/>
            <rFont val="Tahoma"/>
            <family val="2"/>
          </rPr>
          <t xml:space="preserve">
</t>
        </r>
        <r>
          <rPr>
            <sz val="9"/>
            <color rgb="FF000000"/>
            <rFont val="Tahoma"/>
            <family val="2"/>
          </rPr>
          <t>Supplier Income - Supplier Costs of Parts</t>
        </r>
      </text>
    </comment>
    <comment ref="X7" authorId="0" shapeId="0" xr:uid="{3F571250-8B46-3E40-8D2A-7A0720053C0C}">
      <text>
        <r>
          <rPr>
            <b/>
            <sz val="9"/>
            <color rgb="FF000000"/>
            <rFont val="Tahoma"/>
            <family val="2"/>
          </rPr>
          <t>bnixon:</t>
        </r>
        <r>
          <rPr>
            <sz val="9"/>
            <color rgb="FF000000"/>
            <rFont val="Tahoma"/>
            <family val="2"/>
          </rPr>
          <t xml:space="preserve">
</t>
        </r>
        <r>
          <rPr>
            <sz val="9"/>
            <color rgb="FF000000"/>
            <rFont val="Tahoma"/>
            <family val="2"/>
          </rPr>
          <t>Income that was NOT received from the Sale of Parts that did NOT pass.</t>
        </r>
      </text>
    </comment>
    <comment ref="AL7" authorId="0" shapeId="0" xr:uid="{F93E8EE4-9D80-2D4A-9A8D-0E3032EB6071}">
      <text>
        <r>
          <rPr>
            <b/>
            <sz val="9"/>
            <color rgb="FF000000"/>
            <rFont val="Tahoma"/>
            <family val="2"/>
          </rPr>
          <t>bnixon:</t>
        </r>
        <r>
          <rPr>
            <sz val="9"/>
            <color rgb="FF000000"/>
            <rFont val="Tahoma"/>
            <family val="2"/>
          </rPr>
          <t xml:space="preserve">
</t>
        </r>
        <r>
          <rPr>
            <sz val="9"/>
            <color rgb="FF000000"/>
            <rFont val="Tahoma"/>
            <family val="2"/>
          </rPr>
          <t>Team Leads * Total hours in the shift * payrate per hour for that day and shift</t>
        </r>
      </text>
    </comment>
    <comment ref="AM7" authorId="0" shapeId="0" xr:uid="{050DEDC5-54BF-C24B-955E-7C216CE63BE3}">
      <text>
        <r>
          <rPr>
            <b/>
            <sz val="9"/>
            <color rgb="FF000000"/>
            <rFont val="Tahoma"/>
            <family val="2"/>
          </rPr>
          <t>bnixon:</t>
        </r>
        <r>
          <rPr>
            <sz val="9"/>
            <color rgb="FF000000"/>
            <rFont val="Tahoma"/>
            <family val="2"/>
          </rPr>
          <t xml:space="preserve">
</t>
        </r>
        <r>
          <rPr>
            <sz val="9"/>
            <color rgb="FF000000"/>
            <rFont val="Tahoma"/>
            <family val="2"/>
          </rPr>
          <t>Shipper/Receivers * Total hours in the shift * payrate per hour for that day and shift</t>
        </r>
      </text>
    </comment>
    <comment ref="AN7" authorId="0" shapeId="0" xr:uid="{A1159290-3BB4-6249-A5E9-F1530D769D28}">
      <text>
        <r>
          <rPr>
            <b/>
            <sz val="9"/>
            <color rgb="FF000000"/>
            <rFont val="Tahoma"/>
            <family val="2"/>
          </rPr>
          <t>bnixon:</t>
        </r>
        <r>
          <rPr>
            <sz val="9"/>
            <color rgb="FF000000"/>
            <rFont val="Tahoma"/>
            <family val="2"/>
          </rPr>
          <t xml:space="preserve">
</t>
        </r>
        <r>
          <rPr>
            <sz val="9"/>
            <color rgb="FF000000"/>
            <rFont val="Tahoma"/>
            <family val="2"/>
          </rPr>
          <t>= Total labour costs for Shipper/Receivers, Team Leads, and all types of Inspectors for both Inspection Lines *** Not a Mandatory Metric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bnixon</author>
  </authors>
  <commentList>
    <comment ref="D7" authorId="0" shapeId="0" xr:uid="{E0645911-EABC-CE48-998D-1543410373EC}">
      <text>
        <r>
          <rPr>
            <b/>
            <sz val="9"/>
            <color rgb="FF000000"/>
            <rFont val="Tahoma"/>
            <family val="2"/>
          </rPr>
          <t>bnixon:</t>
        </r>
        <r>
          <rPr>
            <sz val="9"/>
            <color rgb="FF000000"/>
            <rFont val="Tahoma"/>
            <family val="2"/>
          </rPr>
          <t xml:space="preserve">
</t>
        </r>
        <r>
          <rPr>
            <sz val="9"/>
            <color rgb="FF000000"/>
            <rFont val="Tahoma"/>
            <family val="2"/>
          </rPr>
          <t>The number of the Day of the week (Sunday = 1)</t>
        </r>
      </text>
    </comment>
    <comment ref="Q7" authorId="0" shapeId="0" xr:uid="{23F92CB3-AEDA-9740-BEFF-236FE321A846}">
      <text>
        <r>
          <rPr>
            <b/>
            <sz val="9"/>
            <color rgb="FF000000"/>
            <rFont val="Tahoma"/>
            <family val="2"/>
          </rPr>
          <t>bnixon:</t>
        </r>
        <r>
          <rPr>
            <sz val="9"/>
            <color rgb="FF000000"/>
            <rFont val="Tahoma"/>
            <family val="2"/>
          </rPr>
          <t xml:space="preserve">
</t>
        </r>
        <r>
          <rPr>
            <sz val="9"/>
            <color rgb="FF000000"/>
            <rFont val="Tahoma"/>
            <family val="2"/>
          </rPr>
          <t>Use Vlookup() to get this value from other lists sheet and parts table</t>
        </r>
      </text>
    </comment>
    <comment ref="T7" authorId="0" shapeId="0" xr:uid="{1D56565D-5657-7448-AE3B-222CCBB29DE0}">
      <text>
        <r>
          <rPr>
            <b/>
            <sz val="9"/>
            <color rgb="FF000000"/>
            <rFont val="Tahoma"/>
            <family val="2"/>
          </rPr>
          <t>bnixon:</t>
        </r>
        <r>
          <rPr>
            <sz val="9"/>
            <color rgb="FF000000"/>
            <rFont val="Tahoma"/>
            <family val="2"/>
          </rPr>
          <t xml:space="preserve">
</t>
        </r>
        <r>
          <rPr>
            <sz val="9"/>
            <color rgb="FF000000"/>
            <rFont val="Tahoma"/>
            <family val="2"/>
          </rPr>
          <t>Use Vlookup() to get this value from other lists sheet and parts table</t>
        </r>
      </text>
    </comment>
    <comment ref="U7" authorId="0" shapeId="0" xr:uid="{9E46CE17-9525-CF43-B3C3-96701FBC47FA}">
      <text>
        <r>
          <rPr>
            <b/>
            <sz val="9"/>
            <color rgb="FF000000"/>
            <rFont val="Tahoma"/>
            <family val="2"/>
          </rPr>
          <t>bnixon:</t>
        </r>
        <r>
          <rPr>
            <sz val="9"/>
            <color rgb="FF000000"/>
            <rFont val="Tahoma"/>
            <family val="2"/>
          </rPr>
          <t xml:space="preserve">
</t>
        </r>
        <r>
          <rPr>
            <sz val="9"/>
            <color rgb="FF000000"/>
            <rFont val="Tahoma"/>
            <family val="2"/>
          </rPr>
          <t xml:space="preserve">Supplier's Income = Parts that Pass * Part Sell For
</t>
        </r>
      </text>
    </comment>
    <comment ref="V7" authorId="0" shapeId="0" xr:uid="{5E32ADDD-0E54-BE4B-973E-4E27D4B6CA8F}">
      <text>
        <r>
          <rPr>
            <b/>
            <sz val="9"/>
            <color rgb="FF000000"/>
            <rFont val="Tahoma"/>
            <family val="2"/>
          </rPr>
          <t>bnixon:</t>
        </r>
        <r>
          <rPr>
            <sz val="9"/>
            <color rgb="FF000000"/>
            <rFont val="Tahoma"/>
            <family val="2"/>
          </rPr>
          <t xml:space="preserve">
</t>
        </r>
        <r>
          <rPr>
            <sz val="9"/>
            <color rgb="FF000000"/>
            <rFont val="Tahoma"/>
            <family val="2"/>
          </rPr>
          <t>Total of 2 Supplier Costs for Inspected Part * # of Received Parts (Passed or Failed)</t>
        </r>
      </text>
    </comment>
    <comment ref="W7" authorId="0" shapeId="0" xr:uid="{C1992E46-65D2-7C4B-B658-D476D6A3BBA9}">
      <text>
        <r>
          <rPr>
            <b/>
            <sz val="9"/>
            <color rgb="FF000000"/>
            <rFont val="Tahoma"/>
            <family val="2"/>
          </rPr>
          <t>bnixon:</t>
        </r>
        <r>
          <rPr>
            <sz val="9"/>
            <color rgb="FF000000"/>
            <rFont val="Tahoma"/>
            <family val="2"/>
          </rPr>
          <t xml:space="preserve">
</t>
        </r>
        <r>
          <rPr>
            <sz val="9"/>
            <color rgb="FF000000"/>
            <rFont val="Tahoma"/>
            <family val="2"/>
          </rPr>
          <t>Supplier Income - Supplier Costs of Parts</t>
        </r>
      </text>
    </comment>
    <comment ref="X7" authorId="0" shapeId="0" xr:uid="{3C0FE389-B8FD-A041-B55C-EC8E417C9B61}">
      <text>
        <r>
          <rPr>
            <b/>
            <sz val="9"/>
            <color rgb="FF000000"/>
            <rFont val="Tahoma"/>
            <family val="2"/>
          </rPr>
          <t>bnixon:</t>
        </r>
        <r>
          <rPr>
            <sz val="9"/>
            <color rgb="FF000000"/>
            <rFont val="Tahoma"/>
            <family val="2"/>
          </rPr>
          <t xml:space="preserve">
</t>
        </r>
        <r>
          <rPr>
            <sz val="9"/>
            <color rgb="FF000000"/>
            <rFont val="Tahoma"/>
            <family val="2"/>
          </rPr>
          <t>Income that was NOT received from the Sale of Parts that did NOT pass.</t>
        </r>
      </text>
    </comment>
    <comment ref="AL7" authorId="0" shapeId="0" xr:uid="{6ADE6B10-1C92-634A-BAB4-47A863ECB6B9}">
      <text>
        <r>
          <rPr>
            <b/>
            <sz val="9"/>
            <color rgb="FF000000"/>
            <rFont val="Tahoma"/>
            <family val="2"/>
          </rPr>
          <t>bnixon:</t>
        </r>
        <r>
          <rPr>
            <sz val="9"/>
            <color rgb="FF000000"/>
            <rFont val="Tahoma"/>
            <family val="2"/>
          </rPr>
          <t xml:space="preserve">
</t>
        </r>
        <r>
          <rPr>
            <sz val="9"/>
            <color rgb="FF000000"/>
            <rFont val="Tahoma"/>
            <family val="2"/>
          </rPr>
          <t>Team Leads * Total hours in the shift * payrate per hour for that day and shift</t>
        </r>
      </text>
    </comment>
    <comment ref="AM7" authorId="0" shapeId="0" xr:uid="{FD92D400-FAEB-554D-9BF3-0DD736C9B143}">
      <text>
        <r>
          <rPr>
            <b/>
            <sz val="9"/>
            <color rgb="FF000000"/>
            <rFont val="Tahoma"/>
            <family val="2"/>
          </rPr>
          <t>bnixon:</t>
        </r>
        <r>
          <rPr>
            <sz val="9"/>
            <color rgb="FF000000"/>
            <rFont val="Tahoma"/>
            <family val="2"/>
          </rPr>
          <t xml:space="preserve">
</t>
        </r>
        <r>
          <rPr>
            <sz val="9"/>
            <color rgb="FF000000"/>
            <rFont val="Tahoma"/>
            <family val="2"/>
          </rPr>
          <t>Shipper/Receivers * Total hours in the shift * payrate per hour for that day and shift</t>
        </r>
      </text>
    </comment>
    <comment ref="AN7" authorId="0" shapeId="0" xr:uid="{78631298-27B2-E346-B003-97C4C4672537}">
      <text>
        <r>
          <rPr>
            <b/>
            <sz val="9"/>
            <color rgb="FF000000"/>
            <rFont val="Tahoma"/>
            <family val="2"/>
          </rPr>
          <t>bnixon:</t>
        </r>
        <r>
          <rPr>
            <sz val="9"/>
            <color rgb="FF000000"/>
            <rFont val="Tahoma"/>
            <family val="2"/>
          </rPr>
          <t xml:space="preserve">
</t>
        </r>
        <r>
          <rPr>
            <sz val="9"/>
            <color rgb="FF000000"/>
            <rFont val="Tahoma"/>
            <family val="2"/>
          </rPr>
          <t>= Total labour costs for Shipper/Receivers, Team Leads, and all types of Inspectors for both Inspection Lines *** Not a Mandatory Metric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bnixon</author>
  </authors>
  <commentList>
    <comment ref="D7" authorId="0" shapeId="0" xr:uid="{5A5F4E6F-37D8-42C1-94DC-FD7393E310AE}">
      <text>
        <r>
          <rPr>
            <b/>
            <sz val="9"/>
            <color rgb="FF000000"/>
            <rFont val="Tahoma"/>
            <family val="2"/>
          </rPr>
          <t>bnixon:</t>
        </r>
        <r>
          <rPr>
            <sz val="9"/>
            <color rgb="FF000000"/>
            <rFont val="Tahoma"/>
            <family val="2"/>
          </rPr>
          <t xml:space="preserve">
</t>
        </r>
        <r>
          <rPr>
            <sz val="9"/>
            <color rgb="FF000000"/>
            <rFont val="Tahoma"/>
            <family val="2"/>
          </rPr>
          <t>The number of the Day of the week (Sunday = 1)</t>
        </r>
      </text>
    </comment>
    <comment ref="N7" authorId="0" shapeId="0" xr:uid="{09CB355E-93F9-4BCF-8E3F-8EDCA47AA775}">
      <text>
        <r>
          <rPr>
            <b/>
            <sz val="9"/>
            <color rgb="FF000000"/>
            <rFont val="Tahoma"/>
            <family val="2"/>
          </rPr>
          <t>bnixon:</t>
        </r>
        <r>
          <rPr>
            <sz val="9"/>
            <color rgb="FF000000"/>
            <rFont val="Tahoma"/>
            <family val="2"/>
          </rPr>
          <t xml:space="preserve">
</t>
        </r>
        <r>
          <rPr>
            <sz val="9"/>
            <color rgb="FF000000"/>
            <rFont val="Tahoma"/>
            <family val="2"/>
          </rPr>
          <t>Difference between Quantity Received and Quantity Inspected.</t>
        </r>
      </text>
    </comment>
    <comment ref="O7" authorId="0" shapeId="0" xr:uid="{794BDC17-8D97-45F6-911F-161F99D07FE3}">
      <text>
        <r>
          <rPr>
            <b/>
            <sz val="9"/>
            <color rgb="FF000000"/>
            <rFont val="Tahoma"/>
            <family val="2"/>
          </rPr>
          <t>bnixon:</t>
        </r>
        <r>
          <rPr>
            <sz val="9"/>
            <color rgb="FF000000"/>
            <rFont val="Tahoma"/>
            <family val="2"/>
          </rPr>
          <t xml:space="preserve">
</t>
        </r>
        <r>
          <rPr>
            <sz val="9"/>
            <color rgb="FF000000"/>
            <rFont val="Tahoma"/>
            <family val="2"/>
          </rPr>
          <t>Percentage of Inspected Parts that Pass</t>
        </r>
      </text>
    </comment>
    <comment ref="P7" authorId="0" shapeId="0" xr:uid="{837C383F-6FEE-1B44-8913-6FBC8ADDD8BD}">
      <text>
        <r>
          <rPr>
            <b/>
            <sz val="9"/>
            <color rgb="FF000000"/>
            <rFont val="Tahoma"/>
            <family val="2"/>
          </rPr>
          <t>bnixon:</t>
        </r>
        <r>
          <rPr>
            <sz val="9"/>
            <color rgb="FF000000"/>
            <rFont val="Tahoma"/>
            <family val="2"/>
          </rPr>
          <t xml:space="preserve">
</t>
        </r>
        <r>
          <rPr>
            <sz val="9"/>
            <color rgb="FF000000"/>
            <rFont val="Tahoma"/>
            <family val="2"/>
          </rPr>
          <t>Use Vlookup() to get this value from other lists sheet and parts table</t>
        </r>
      </text>
    </comment>
    <comment ref="S7" authorId="0" shapeId="0" xr:uid="{B0CE92F7-4744-034D-B7DC-3F8D6AA31D78}">
      <text>
        <r>
          <rPr>
            <b/>
            <sz val="9"/>
            <color rgb="FF000000"/>
            <rFont val="Tahoma"/>
            <family val="2"/>
          </rPr>
          <t>bnixon:</t>
        </r>
        <r>
          <rPr>
            <sz val="9"/>
            <color rgb="FF000000"/>
            <rFont val="Tahoma"/>
            <family val="2"/>
          </rPr>
          <t xml:space="preserve">
</t>
        </r>
        <r>
          <rPr>
            <sz val="9"/>
            <color rgb="FF000000"/>
            <rFont val="Tahoma"/>
            <family val="2"/>
          </rPr>
          <t>Use Vlookup() to get this value from other lists sheet and parts table</t>
        </r>
      </text>
    </comment>
    <comment ref="T7" authorId="0" shapeId="0" xr:uid="{C9D9EDE3-9402-4691-A1FE-2F2C1DB3C868}">
      <text>
        <r>
          <rPr>
            <b/>
            <sz val="9"/>
            <color rgb="FF000000"/>
            <rFont val="Tahoma"/>
            <family val="2"/>
          </rPr>
          <t>bnixon:</t>
        </r>
        <r>
          <rPr>
            <sz val="9"/>
            <color rgb="FF000000"/>
            <rFont val="Tahoma"/>
            <family val="2"/>
          </rPr>
          <t xml:space="preserve">
</t>
        </r>
        <r>
          <rPr>
            <sz val="9"/>
            <color rgb="FF000000"/>
            <rFont val="Tahoma"/>
            <family val="2"/>
          </rPr>
          <t xml:space="preserve">Supplier's Income = Parts that Pass * Part Sell For
</t>
        </r>
      </text>
    </comment>
    <comment ref="U7" authorId="0" shapeId="0" xr:uid="{76418CDE-B8B6-4FC1-89C6-97EB812AB2B2}">
      <text>
        <r>
          <rPr>
            <b/>
            <sz val="9"/>
            <color rgb="FF000000"/>
            <rFont val="Tahoma"/>
            <family val="2"/>
          </rPr>
          <t>bnixon:</t>
        </r>
        <r>
          <rPr>
            <sz val="9"/>
            <color rgb="FF000000"/>
            <rFont val="Tahoma"/>
            <family val="2"/>
          </rPr>
          <t xml:space="preserve">
</t>
        </r>
        <r>
          <rPr>
            <sz val="9"/>
            <color rgb="FF000000"/>
            <rFont val="Tahoma"/>
            <family val="2"/>
          </rPr>
          <t>Total of 2 Supplier Costs for Inspected Part * # of Received Parts (Passed or Failed)</t>
        </r>
      </text>
    </comment>
    <comment ref="V7" authorId="0" shapeId="0" xr:uid="{2BF16FF3-5F4A-440A-9106-DA7457E7C33E}">
      <text>
        <r>
          <rPr>
            <b/>
            <sz val="9"/>
            <color rgb="FF000000"/>
            <rFont val="Tahoma"/>
            <family val="2"/>
          </rPr>
          <t>bnixon:</t>
        </r>
        <r>
          <rPr>
            <sz val="9"/>
            <color rgb="FF000000"/>
            <rFont val="Tahoma"/>
            <family val="2"/>
          </rPr>
          <t xml:space="preserve">
</t>
        </r>
        <r>
          <rPr>
            <sz val="9"/>
            <color rgb="FF000000"/>
            <rFont val="Tahoma"/>
            <family val="2"/>
          </rPr>
          <t>Supplier Income - Supplier Costs of Parts</t>
        </r>
      </text>
    </comment>
    <comment ref="W7" authorId="0" shapeId="0" xr:uid="{DC3639C5-4F8C-405C-9BC4-846B45D05410}">
      <text>
        <r>
          <rPr>
            <b/>
            <sz val="9"/>
            <color rgb="FF000000"/>
            <rFont val="Tahoma"/>
            <family val="2"/>
          </rPr>
          <t>bnixon:</t>
        </r>
        <r>
          <rPr>
            <sz val="9"/>
            <color rgb="FF000000"/>
            <rFont val="Tahoma"/>
            <family val="2"/>
          </rPr>
          <t xml:space="preserve">
</t>
        </r>
        <r>
          <rPr>
            <sz val="9"/>
            <color rgb="FF000000"/>
            <rFont val="Tahoma"/>
            <family val="2"/>
          </rPr>
          <t>Income that was NOT received from the Sale of Parts that did NOT pass.</t>
        </r>
      </text>
    </comment>
    <comment ref="AA7" authorId="0" shapeId="0" xr:uid="{B3BCD135-2029-41F0-BAFC-2CE4C88A5E58}">
      <text>
        <r>
          <rPr>
            <b/>
            <sz val="9"/>
            <color indexed="81"/>
            <rFont val="Tahoma"/>
            <family val="2"/>
          </rPr>
          <t>bnixon:</t>
        </r>
        <r>
          <rPr>
            <sz val="9"/>
            <color indexed="81"/>
            <rFont val="Tahoma"/>
            <family val="2"/>
          </rPr>
          <t xml:space="preserve">
Calculation - Inspectors - Training - Regular</t>
        </r>
      </text>
    </comment>
    <comment ref="AB7" authorId="0" shapeId="0" xr:uid="{7E10AB33-EF0E-40B0-98FB-945420212A22}">
      <text>
        <r>
          <rPr>
            <b/>
            <sz val="9"/>
            <color indexed="81"/>
            <rFont val="Tahoma"/>
            <family val="2"/>
          </rPr>
          <t>bnixon:</t>
        </r>
        <r>
          <rPr>
            <sz val="9"/>
            <color indexed="81"/>
            <rFont val="Tahoma"/>
            <family val="2"/>
          </rPr>
          <t xml:space="preserve">
Calculation = # of Trainees * Total hours in the shift * payrate per hour for that day and shift
</t>
        </r>
      </text>
    </comment>
    <comment ref="AC7" authorId="0" shapeId="0" xr:uid="{C3AD0368-AED8-466A-87B0-70A6233ACAB0}">
      <text>
        <r>
          <rPr>
            <b/>
            <sz val="9"/>
            <color indexed="81"/>
            <rFont val="Tahoma"/>
            <family val="2"/>
          </rPr>
          <t>bnixon:</t>
        </r>
        <r>
          <rPr>
            <sz val="9"/>
            <color indexed="81"/>
            <rFont val="Tahoma"/>
            <family val="2"/>
          </rPr>
          <t xml:space="preserve">
Regular Employees * Total hours in the shift * payrate per hour for that day and shift</t>
        </r>
      </text>
    </comment>
    <comment ref="AD7" authorId="0" shapeId="0" xr:uid="{0D5EA3FE-A0D8-4C58-9D2B-CFAD96BB7863}">
      <text>
        <r>
          <rPr>
            <b/>
            <sz val="9"/>
            <color indexed="81"/>
            <rFont val="Tahoma"/>
            <family val="2"/>
          </rPr>
          <t>bnixon:</t>
        </r>
        <r>
          <rPr>
            <sz val="9"/>
            <color indexed="81"/>
            <rFont val="Tahoma"/>
            <family val="2"/>
          </rPr>
          <t xml:space="preserve">
Casual emploiyees * Total hours in the shift * most expensive payrate per hour for that day and shift</t>
        </r>
      </text>
    </comment>
    <comment ref="AF7" authorId="0" shapeId="0" xr:uid="{D0F598AD-0C93-416F-9A0C-E1041ACA28AB}">
      <text>
        <r>
          <rPr>
            <b/>
            <sz val="9"/>
            <color indexed="81"/>
            <rFont val="Tahoma"/>
            <family val="2"/>
          </rPr>
          <t>bnixon:</t>
        </r>
        <r>
          <rPr>
            <sz val="9"/>
            <color indexed="81"/>
            <rFont val="Tahoma"/>
            <family val="2"/>
          </rPr>
          <t xml:space="preserve">
Calculation = Total of Training $ + Regular $ + Casual $</t>
        </r>
      </text>
    </comment>
    <comment ref="AR7" authorId="0" shapeId="0" xr:uid="{4BE30D01-65EC-9741-8CC1-BE371AD98753}">
      <text>
        <r>
          <rPr>
            <b/>
            <sz val="9"/>
            <color rgb="FF000000"/>
            <rFont val="Tahoma"/>
            <family val="2"/>
          </rPr>
          <t>bnixon:</t>
        </r>
        <r>
          <rPr>
            <sz val="9"/>
            <color rgb="FF000000"/>
            <rFont val="Tahoma"/>
            <family val="2"/>
          </rPr>
          <t xml:space="preserve">
</t>
        </r>
        <r>
          <rPr>
            <sz val="9"/>
            <color rgb="FF000000"/>
            <rFont val="Tahoma"/>
            <family val="2"/>
          </rPr>
          <t>Use Vlookup() to get this value from other lists sheet and parts table</t>
        </r>
      </text>
    </comment>
    <comment ref="AU7" authorId="0" shapeId="0" xr:uid="{82EB380A-5269-524D-A01E-715F5C60DD2F}">
      <text>
        <r>
          <rPr>
            <b/>
            <sz val="9"/>
            <color rgb="FF000000"/>
            <rFont val="Tahoma"/>
            <family val="2"/>
          </rPr>
          <t>bnixon:</t>
        </r>
        <r>
          <rPr>
            <sz val="9"/>
            <color rgb="FF000000"/>
            <rFont val="Tahoma"/>
            <family val="2"/>
          </rPr>
          <t xml:space="preserve">
</t>
        </r>
        <r>
          <rPr>
            <sz val="9"/>
            <color rgb="FF000000"/>
            <rFont val="Tahoma"/>
            <family val="2"/>
          </rPr>
          <t>Use Vlookup() to get this value from other lists sheet and parts table</t>
        </r>
      </text>
    </comment>
    <comment ref="AV7" authorId="0" shapeId="0" xr:uid="{9BCDAB08-BB2C-8149-BFCD-361F40AFA53D}">
      <text>
        <r>
          <rPr>
            <b/>
            <sz val="9"/>
            <color rgb="FF000000"/>
            <rFont val="Tahoma"/>
            <family val="2"/>
          </rPr>
          <t>bnixon:</t>
        </r>
        <r>
          <rPr>
            <sz val="9"/>
            <color rgb="FF000000"/>
            <rFont val="Tahoma"/>
            <family val="2"/>
          </rPr>
          <t xml:space="preserve">
</t>
        </r>
        <r>
          <rPr>
            <sz val="9"/>
            <color rgb="FF000000"/>
            <rFont val="Tahoma"/>
            <family val="2"/>
          </rPr>
          <t xml:space="preserve">Supplier's Income = Parts that Pass * Part Sell For
</t>
        </r>
      </text>
    </comment>
    <comment ref="AW7" authorId="0" shapeId="0" xr:uid="{793423AB-4F76-774F-94B8-D44C271BE675}">
      <text>
        <r>
          <rPr>
            <b/>
            <sz val="9"/>
            <color rgb="FF000000"/>
            <rFont val="Tahoma"/>
            <family val="2"/>
          </rPr>
          <t>bnixon:</t>
        </r>
        <r>
          <rPr>
            <sz val="9"/>
            <color rgb="FF000000"/>
            <rFont val="Tahoma"/>
            <family val="2"/>
          </rPr>
          <t xml:space="preserve">
</t>
        </r>
        <r>
          <rPr>
            <sz val="9"/>
            <color rgb="FF000000"/>
            <rFont val="Tahoma"/>
            <family val="2"/>
          </rPr>
          <t>Total of 2 Supplier Costs for Inspected Part * # of Received Parts (Passed or Failed)</t>
        </r>
      </text>
    </comment>
    <comment ref="AX7" authorId="0" shapeId="0" xr:uid="{BE916996-18BD-E242-BA71-C1D6D0AE7964}">
      <text>
        <r>
          <rPr>
            <b/>
            <sz val="9"/>
            <color rgb="FF000000"/>
            <rFont val="Tahoma"/>
            <family val="2"/>
          </rPr>
          <t>bnixon:</t>
        </r>
        <r>
          <rPr>
            <sz val="9"/>
            <color rgb="FF000000"/>
            <rFont val="Tahoma"/>
            <family val="2"/>
          </rPr>
          <t xml:space="preserve">
</t>
        </r>
        <r>
          <rPr>
            <sz val="9"/>
            <color rgb="FF000000"/>
            <rFont val="Tahoma"/>
            <family val="2"/>
          </rPr>
          <t>Supplier Income - Supplier Costs of Parts</t>
        </r>
      </text>
    </comment>
    <comment ref="AY7" authorId="0" shapeId="0" xr:uid="{3999CFB4-2692-E746-A9CE-9BCEEA9E04F6}">
      <text>
        <r>
          <rPr>
            <b/>
            <sz val="9"/>
            <color rgb="FF000000"/>
            <rFont val="Tahoma"/>
            <family val="2"/>
          </rPr>
          <t>bnixon:</t>
        </r>
        <r>
          <rPr>
            <sz val="9"/>
            <color rgb="FF000000"/>
            <rFont val="Tahoma"/>
            <family val="2"/>
          </rPr>
          <t xml:space="preserve">
</t>
        </r>
        <r>
          <rPr>
            <sz val="9"/>
            <color rgb="FF000000"/>
            <rFont val="Tahoma"/>
            <family val="2"/>
          </rPr>
          <t>Income that was NOT received from the Sale of Parts that did NOT pass.</t>
        </r>
      </text>
    </comment>
    <comment ref="BM7" authorId="0" shapeId="0" xr:uid="{4FE4642B-9CD3-4EB0-B47D-1D77860E6D60}">
      <text>
        <r>
          <rPr>
            <b/>
            <sz val="9"/>
            <color rgb="FF000000"/>
            <rFont val="Tahoma"/>
            <family val="2"/>
          </rPr>
          <t>bnixon:</t>
        </r>
        <r>
          <rPr>
            <sz val="9"/>
            <color rgb="FF000000"/>
            <rFont val="Tahoma"/>
            <family val="2"/>
          </rPr>
          <t xml:space="preserve">
</t>
        </r>
        <r>
          <rPr>
            <sz val="9"/>
            <color rgb="FF000000"/>
            <rFont val="Tahoma"/>
            <family val="2"/>
          </rPr>
          <t>Team Leads * Total hours in the shift * payrate per hour for that day and shift</t>
        </r>
      </text>
    </comment>
    <comment ref="BN7" authorId="0" shapeId="0" xr:uid="{7F315072-2EFF-4509-BC94-45B6C532BE18}">
      <text>
        <r>
          <rPr>
            <b/>
            <sz val="9"/>
            <color rgb="FF000000"/>
            <rFont val="Tahoma"/>
            <family val="2"/>
          </rPr>
          <t>bnixon:</t>
        </r>
        <r>
          <rPr>
            <sz val="9"/>
            <color rgb="FF000000"/>
            <rFont val="Tahoma"/>
            <family val="2"/>
          </rPr>
          <t xml:space="preserve">
</t>
        </r>
        <r>
          <rPr>
            <sz val="9"/>
            <color rgb="FF000000"/>
            <rFont val="Tahoma"/>
            <family val="2"/>
          </rPr>
          <t>Shipper/Receivers * Total hours in the shift * payrate per hour for that day and shift</t>
        </r>
      </text>
    </comment>
    <comment ref="BO7" authorId="0" shapeId="0" xr:uid="{FC8A8802-D3C7-49B5-9970-ECE3385FC009}">
      <text>
        <r>
          <rPr>
            <b/>
            <sz val="9"/>
            <color rgb="FF000000"/>
            <rFont val="Tahoma"/>
            <family val="2"/>
          </rPr>
          <t>bnixon:</t>
        </r>
        <r>
          <rPr>
            <sz val="9"/>
            <color rgb="FF000000"/>
            <rFont val="Tahoma"/>
            <family val="2"/>
          </rPr>
          <t xml:space="preserve">
</t>
        </r>
        <r>
          <rPr>
            <sz val="9"/>
            <color rgb="FF000000"/>
            <rFont val="Tahoma"/>
            <family val="2"/>
          </rPr>
          <t>= Total labour costs for Shipper/Receivers, Team Leads, and all types of Inspectors for both Inspection Lines *** Not a Mandatory Metric ***</t>
        </r>
      </text>
    </comment>
  </commentList>
</comments>
</file>

<file path=xl/sharedStrings.xml><?xml version="1.0" encoding="utf-8"?>
<sst xmlns="http://schemas.openxmlformats.org/spreadsheetml/2006/main" count="1434" uniqueCount="936">
  <si>
    <t>Read Me First</t>
  </si>
  <si>
    <t>Purpose: DataSet for INFO8136 Case Study 2</t>
  </si>
  <si>
    <t>This Excel Workbook was:</t>
  </si>
  <si>
    <t>Created by:</t>
  </si>
  <si>
    <t>Created for:</t>
  </si>
  <si>
    <t>Conestoga College BA Program, Courses INFO 8136</t>
  </si>
  <si>
    <t>Created on:</t>
  </si>
  <si>
    <t>Project:</t>
  </si>
  <si>
    <t>Case Study 2</t>
  </si>
  <si>
    <t>Possible Consumers of this:</t>
  </si>
  <si>
    <t>All Section Members of INFO8146</t>
  </si>
  <si>
    <t>Copyright:</t>
  </si>
  <si>
    <t>Conestoga College, 2024.  All rights reserved</t>
  </si>
  <si>
    <t>Useage rights granted to registered section members of INFO 8146</t>
  </si>
  <si>
    <t>Assumptions:</t>
  </si>
  <si>
    <t>This WB contains data on 2 Inspection Lines.  Little Panda Quality Inspection has more than 2 Inspection Lines</t>
  </si>
  <si>
    <t>This WB contains data on 3 Inspected Parts.  Little Panda Quality Inspection has more than 400 Inspected Parts</t>
  </si>
  <si>
    <t>This WB contains data on 2 Suppliers of Parts To be Inspected (Parts TBI).  Little Panda Quality Inspection has more than 2 Suppliers of Parts to Be Inspected</t>
  </si>
  <si>
    <t xml:space="preserve">Little Panda receives parts TBI within 24 hours of their making. </t>
  </si>
  <si>
    <t>Suppliers of Parts TBI operate Monday thru Friday at full capacity, and produce about 1/3 of a weekday's output on either Saturday and Sunday</t>
  </si>
  <si>
    <t>Assumptions 4 and 5 cause Little Panda's Inspection Loading is the lightest on Sunday and Monday</t>
  </si>
  <si>
    <t>Parts that Cannot be Inspected in Shifts 1 and 2 are to be inspected during Shift 3 of the same day,</t>
  </si>
  <si>
    <t>LPQI charges for Parts Inspection to the Supplier of the Parts is included in the Suppliers' Other Costs for each Part</t>
  </si>
  <si>
    <t>Employees are paid for a Shift of 8 hours, but only do actual work for 7 hours in that shift.</t>
  </si>
  <si>
    <t>Dimensions to be Analyzed</t>
  </si>
  <si>
    <t>Issues to be Explored</t>
  </si>
  <si>
    <t>see Supplied Videos for more detail</t>
  </si>
  <si>
    <t>Inspected Parts - Pass or Fail - Including Costs of Failed Parts</t>
  </si>
  <si>
    <t>LPQI Labour Cost and Parts TBI Suppliers' Projected Profits</t>
  </si>
  <si>
    <t>LPQI Inspection Line Capacity - Impacted by Varying Parts TBI Deliveries and Varying LPQI Staffing</t>
  </si>
  <si>
    <t>Mandatory (Expected) Metrics - determined by the Data Analyst Assignment</t>
  </si>
  <si>
    <t>Day + Shift + Inspection Line - Over/Under</t>
  </si>
  <si>
    <t>Day + Shift + Inspection Line - Pass %</t>
  </si>
  <si>
    <t>Day + Shift + Inspection Line - Possible Supplier Profit</t>
  </si>
  <si>
    <t>Day + Shift + Inspection Line - Total LPQI Labour $</t>
  </si>
  <si>
    <t>Day + Shift + Inspection Line - LPQI Inspect Labour $ per Part Inspected</t>
  </si>
  <si>
    <t>Data Analyst Assignment</t>
  </si>
  <si>
    <t>Each Analyst will be Assigned a Combination of each of the 3 Dimensions listed above, and one of the Issues to be Explored</t>
  </si>
  <si>
    <t>For example, a DA might be assigned:   Inspection Line B, Shift 2, Sunday+Monday Shifts, and LPQI Inpsection Line Capacity</t>
  </si>
  <si>
    <t>The assignment will be done by the Section's Faculty</t>
  </si>
  <si>
    <t>Document History</t>
  </si>
  <si>
    <t>ID</t>
  </si>
  <si>
    <t>Updated by and on:</t>
  </si>
  <si>
    <t>Published on:</t>
  </si>
  <si>
    <t>Reason(s):</t>
  </si>
  <si>
    <t>Sources and References</t>
  </si>
  <si>
    <t>Various earlier versions of this produced by Bill Nixon, in March 2024 for Section 1 and 5</t>
  </si>
  <si>
    <t>Various movies recorded and published by Bill Nixon thru the Case Study 2 Home Page</t>
  </si>
  <si>
    <t>Various Course Materials about LPQI already provided</t>
  </si>
  <si>
    <t>Sheets in this Workbook</t>
  </si>
  <si>
    <t>Sheet Name</t>
  </si>
  <si>
    <t>Description</t>
  </si>
  <si>
    <t>ReadMeFirst</t>
  </si>
  <si>
    <t>excel workbook information and history</t>
  </si>
  <si>
    <t>Other Lists</t>
  </si>
  <si>
    <t>Collection of 8 Lists of Reference Data for the Inspect DM and 2 Inspection Line Batch DMs</t>
  </si>
  <si>
    <t>Inspect DM</t>
  </si>
  <si>
    <t>29 Days of Production Data for 3 Shifts and 2 Inspection Lines</t>
  </si>
  <si>
    <t>at the Little Panda facility</t>
  </si>
  <si>
    <t>Blank Columns Exist. For Data Analysts to Complete Calculations of Mandatory Metrics</t>
  </si>
  <si>
    <t>A Batches</t>
  </si>
  <si>
    <t>List of the Suppliers' Batches of Supplied Parts TBI for each Day and Shift</t>
  </si>
  <si>
    <t>for LPQI Inspection Line A</t>
  </si>
  <si>
    <t>Data has ID Code (see the Production Line/Cells Reference table), and LPQI Qty Received and Passed</t>
  </si>
  <si>
    <t>B Batches</t>
  </si>
  <si>
    <t>for LPQI Inspection Line B</t>
  </si>
  <si>
    <t>Little Panda Quality Inspection - Reference Tables</t>
  </si>
  <si>
    <t>Suppliers of Parts to Be Inspected</t>
  </si>
  <si>
    <t>MakerID</t>
  </si>
  <si>
    <t>Maker</t>
  </si>
  <si>
    <t>Plant Location</t>
  </si>
  <si>
    <t>Eclipse</t>
  </si>
  <si>
    <t>Cambridge, ON</t>
  </si>
  <si>
    <t>Linacar</t>
  </si>
  <si>
    <t>Guelph, ON</t>
  </si>
  <si>
    <t>Suppliers of Parts TBI - Production Lines / Cells Codes</t>
  </si>
  <si>
    <t>=R13&amp;"-"&amp;S13</t>
  </si>
  <si>
    <t>Factors on Parts to be Inspected</t>
  </si>
  <si>
    <t>=INT(7/(I13*J13/60))</t>
  </si>
  <si>
    <t>ProdTypeID</t>
  </si>
  <si>
    <t>Product Type</t>
  </si>
  <si>
    <t>Prodn Lines / Cells</t>
  </si>
  <si>
    <t>Cost To Make</t>
  </si>
  <si>
    <t>Other Costs</t>
  </si>
  <si>
    <t>Sells For</t>
  </si>
  <si>
    <t>Inspect Tests</t>
  </si>
  <si>
    <t>Avg Mins Per Inspect</t>
  </si>
  <si>
    <t>Total Per 7 hrs per Inspector</t>
  </si>
  <si>
    <t>NightShift</t>
  </si>
  <si>
    <t>Porter Mins</t>
  </si>
  <si>
    <t>Box Qty</t>
  </si>
  <si>
    <t>Key</t>
  </si>
  <si>
    <t>Sequence</t>
  </si>
  <si>
    <t>Alternator</t>
  </si>
  <si>
    <t>G</t>
  </si>
  <si>
    <t>Tie Rod End</t>
  </si>
  <si>
    <t>H</t>
  </si>
  <si>
    <t>Ball Joint</t>
  </si>
  <si>
    <t>J</t>
  </si>
  <si>
    <t>D1</t>
  </si>
  <si>
    <t>D2</t>
  </si>
  <si>
    <t>Employee Groups</t>
  </si>
  <si>
    <t>D3</t>
  </si>
  <si>
    <t>EmpGroupID</t>
  </si>
  <si>
    <t>EmployeeGroup</t>
  </si>
  <si>
    <t>D4</t>
  </si>
  <si>
    <t>Inspector</t>
  </si>
  <si>
    <t>D5</t>
  </si>
  <si>
    <t>Team Lead</t>
  </si>
  <si>
    <t>D6</t>
  </si>
  <si>
    <t>Shipper/Receiver</t>
  </si>
  <si>
    <t>M5</t>
  </si>
  <si>
    <t>M6</t>
  </si>
  <si>
    <t>M7</t>
  </si>
  <si>
    <t>Employee Payrates</t>
  </si>
  <si>
    <t>M8</t>
  </si>
  <si>
    <t>EmpTypeID</t>
  </si>
  <si>
    <t>Employee Types</t>
  </si>
  <si>
    <t>Experience</t>
  </si>
  <si>
    <t>Payrate / hr</t>
  </si>
  <si>
    <t>Employer Share</t>
  </si>
  <si>
    <t>Total Cost/Hr</t>
  </si>
  <si>
    <t>Training</t>
  </si>
  <si>
    <t>Casual</t>
  </si>
  <si>
    <t>Under 100 hours</t>
  </si>
  <si>
    <t>101-300 hours</t>
  </si>
  <si>
    <t>Regular</t>
  </si>
  <si>
    <t>301+ hours</t>
  </si>
  <si>
    <t>501+ hours</t>
  </si>
  <si>
    <t>Shift Factors</t>
  </si>
  <si>
    <t>ShiftID</t>
  </si>
  <si>
    <t>ShiftName</t>
  </si>
  <si>
    <t>ShiftHours</t>
  </si>
  <si>
    <t>Shift Premium</t>
  </si>
  <si>
    <t>Day</t>
  </si>
  <si>
    <t>6am-2pm</t>
  </si>
  <si>
    <t>Afternoon</t>
  </si>
  <si>
    <t>2pm-10pm</t>
  </si>
  <si>
    <t>Nights</t>
  </si>
  <si>
    <t>10pm-6am</t>
  </si>
  <si>
    <t>Inspection Lines</t>
  </si>
  <si>
    <t>InspectLineID</t>
  </si>
  <si>
    <t>InspectLine Name</t>
  </si>
  <si>
    <t>A</t>
  </si>
  <si>
    <t>Line A</t>
  </si>
  <si>
    <t>B</t>
  </si>
  <si>
    <t>Line B</t>
  </si>
  <si>
    <t>=D49&amp;E49&amp;"-"&amp;H49&amp;"-"&amp;F49</t>
  </si>
  <si>
    <t>Inspection Line, Shift, WeekDay/WeekEnd Staffing Counts</t>
  </si>
  <si>
    <t>StaffingID</t>
  </si>
  <si>
    <t>As Of</t>
  </si>
  <si>
    <t>LineID</t>
  </si>
  <si>
    <t>SunMon</t>
  </si>
  <si>
    <t>LkupKey</t>
  </si>
  <si>
    <t>EmployeeCOunt</t>
  </si>
  <si>
    <t>N</t>
  </si>
  <si>
    <t>Y</t>
  </si>
  <si>
    <t>Data Set</t>
  </si>
  <si>
    <t>Little Panda Inspection Lines A and B Inspection Data</t>
  </si>
  <si>
    <t>Line A Inspection Data</t>
  </si>
  <si>
    <t>Line B Inspection Data</t>
  </si>
  <si>
    <t>InspectDataID</t>
  </si>
  <si>
    <t>Day of Week</t>
  </si>
  <si>
    <t>Over / Under</t>
  </si>
  <si>
    <t>Pass%</t>
  </si>
  <si>
    <t>Possible Supplier Income</t>
  </si>
  <si>
    <t>Supplier Cost of Parts</t>
  </si>
  <si>
    <t>Possible Supplier Profit</t>
  </si>
  <si>
    <t>Supplier Cost of Bad Parts</t>
  </si>
  <si>
    <t>Training $</t>
  </si>
  <si>
    <t>Regular $</t>
  </si>
  <si>
    <t>Casual $</t>
  </si>
  <si>
    <t>Total Line A $</t>
  </si>
  <si>
    <t>Inspect Labour $ per Part</t>
  </si>
  <si>
    <t>Over/Under</t>
  </si>
  <si>
    <t>Team Lead $</t>
  </si>
  <si>
    <t>All Total Labour $</t>
  </si>
  <si>
    <t>Little Panda Inspection Line A Batch Data</t>
  </si>
  <si>
    <t>BatchesLineAID</t>
  </si>
  <si>
    <t/>
  </si>
  <si>
    <t>240202-S2-M5</t>
  </si>
  <si>
    <t>240202-S2-M6</t>
  </si>
  <si>
    <t>240202-S2-M7</t>
  </si>
  <si>
    <t>240202-S2-M8</t>
  </si>
  <si>
    <t>240203-S2-M5</t>
  </si>
  <si>
    <t>240203-S2-M6</t>
  </si>
  <si>
    <t>240203-S2-M7</t>
  </si>
  <si>
    <t>240203-S2-M8</t>
  </si>
  <si>
    <t>240204-S2-D2</t>
  </si>
  <si>
    <t>240204-S2-D4</t>
  </si>
  <si>
    <t>240204-S2-D5</t>
  </si>
  <si>
    <t>240204-S2-D6</t>
  </si>
  <si>
    <t>240207-S2-M5</t>
  </si>
  <si>
    <t>240207-S2-M7</t>
  </si>
  <si>
    <t>240207-S2-M8</t>
  </si>
  <si>
    <t>240208-S2-D1</t>
  </si>
  <si>
    <t>240208-S2-D2</t>
  </si>
  <si>
    <t>240208-S2-D3</t>
  </si>
  <si>
    <t>240208-S2-D4</t>
  </si>
  <si>
    <t>240208-S2-D5</t>
  </si>
  <si>
    <t>240208-S2-D6</t>
  </si>
  <si>
    <t>240211-S2-M5</t>
  </si>
  <si>
    <t>240211-S2-M6</t>
  </si>
  <si>
    <t>240211-S2-M7</t>
  </si>
  <si>
    <t>240211-S2-M8</t>
  </si>
  <si>
    <t>240213-S2-M5</t>
  </si>
  <si>
    <t>240213-S2-M6</t>
  </si>
  <si>
    <t>240213-S2-M7</t>
  </si>
  <si>
    <t>240213-S2-M8</t>
  </si>
  <si>
    <t>240214-S2-D1</t>
  </si>
  <si>
    <t>240214-S2-D2</t>
  </si>
  <si>
    <t>240214-S2-D3</t>
  </si>
  <si>
    <t>240214-S2-D4</t>
  </si>
  <si>
    <t>240214-S2-D6</t>
  </si>
  <si>
    <t>240220-S2-M5</t>
  </si>
  <si>
    <t>240220-S2-M7</t>
  </si>
  <si>
    <t>240220-S2-M8</t>
  </si>
  <si>
    <t>240221-S2-D1</t>
  </si>
  <si>
    <t>240221-S2-D2</t>
  </si>
  <si>
    <t>240221-S2-D3</t>
  </si>
  <si>
    <t>240221-S2-D4</t>
  </si>
  <si>
    <t>240221-S2-D5</t>
  </si>
  <si>
    <t>240221-S2-D6</t>
  </si>
  <si>
    <t>240222-S2-M5</t>
  </si>
  <si>
    <t>240222-S2-M8</t>
  </si>
  <si>
    <t>240224-S2-M5</t>
  </si>
  <si>
    <t>240224-S2-M8</t>
  </si>
  <si>
    <t>240228-S2-M6</t>
  </si>
  <si>
    <t>240228-S2-M7</t>
  </si>
  <si>
    <t>240228-S2-M8</t>
  </si>
  <si>
    <t>240229-S2-M6</t>
  </si>
  <si>
    <t>240229-S2-M7</t>
  </si>
  <si>
    <t>240229-S2-M8</t>
  </si>
  <si>
    <t>240206-S3-D1</t>
  </si>
  <si>
    <t>240206-S3-D2</t>
  </si>
  <si>
    <t>240206-S3-D3</t>
  </si>
  <si>
    <t>240206-S3-D4</t>
  </si>
  <si>
    <t>240206-S3-D5</t>
  </si>
  <si>
    <t>240206-S3-D6</t>
  </si>
  <si>
    <t>240215-S3-D2</t>
  </si>
  <si>
    <t>240215-S3-D3</t>
  </si>
  <si>
    <t>240215-S3-D4</t>
  </si>
  <si>
    <t>240215-S3-D5</t>
  </si>
  <si>
    <t>240215-S3-D6</t>
  </si>
  <si>
    <t>240216-S3-D2</t>
  </si>
  <si>
    <t>240216-S3-D3</t>
  </si>
  <si>
    <t>240216-S3-D4</t>
  </si>
  <si>
    <t>240216-S3-D5</t>
  </si>
  <si>
    <t>240216-S3-D6</t>
  </si>
  <si>
    <t>240220-S3-D1</t>
  </si>
  <si>
    <t>240220-S3-D2</t>
  </si>
  <si>
    <t>240220-S3-D3</t>
  </si>
  <si>
    <t>240220-S3-D4</t>
  </si>
  <si>
    <t>240220-S3-D5</t>
  </si>
  <si>
    <t>240220-S3-D6</t>
  </si>
  <si>
    <t>240222-S3-D1</t>
  </si>
  <si>
    <t>240222-S3-D2</t>
  </si>
  <si>
    <t>240222-S3-D3</t>
  </si>
  <si>
    <t>240222-S3-D4</t>
  </si>
  <si>
    <t>240222-S3-D5</t>
  </si>
  <si>
    <t>240222-S3-D6</t>
  </si>
  <si>
    <t>240223-S3-M5</t>
  </si>
  <si>
    <t>240223-S3-M6</t>
  </si>
  <si>
    <t>240223-S3-M7</t>
  </si>
  <si>
    <t>240223-S3-M8</t>
  </si>
  <si>
    <t>240224-S3-D2</t>
  </si>
  <si>
    <t>240224-S3-D3</t>
  </si>
  <si>
    <t>240224-S3-D4</t>
  </si>
  <si>
    <t>240224-S3-D5</t>
  </si>
  <si>
    <t>240224-S3-D6</t>
  </si>
  <si>
    <t>Little Panda Inspection Line B Batch Data</t>
  </si>
  <si>
    <t>BatchesLineBID</t>
  </si>
  <si>
    <t>240201-S2-H</t>
  </si>
  <si>
    <t>240201-S2-J</t>
  </si>
  <si>
    <t>240202-S2-G</t>
  </si>
  <si>
    <t>240202-S2-J</t>
  </si>
  <si>
    <t>240203-S2-G</t>
  </si>
  <si>
    <t>240203-S2-J</t>
  </si>
  <si>
    <t>240204-S2-H</t>
  </si>
  <si>
    <t>240204-S2-J</t>
  </si>
  <si>
    <t>240205-S2-H</t>
  </si>
  <si>
    <t>240205-S2-J</t>
  </si>
  <si>
    <t>240206-S2-H</t>
  </si>
  <si>
    <t>240206-S2-J</t>
  </si>
  <si>
    <t>240207-S2-G</t>
  </si>
  <si>
    <t>240207-S2-H</t>
  </si>
  <si>
    <t>240207-S2-J</t>
  </si>
  <si>
    <t>240208-S2-G</t>
  </si>
  <si>
    <t>240208-S2-J</t>
  </si>
  <si>
    <t>240209-S2-H</t>
  </si>
  <si>
    <t>240209-S2-J</t>
  </si>
  <si>
    <t>240210-S2-G</t>
  </si>
  <si>
    <t>240210-S2-H</t>
  </si>
  <si>
    <t>240210-S2-J</t>
  </si>
  <si>
    <t>240211-S2-G</t>
  </si>
  <si>
    <t>240211-S2-H</t>
  </si>
  <si>
    <t>240211-S2-J</t>
  </si>
  <si>
    <t>240212-S2-G</t>
  </si>
  <si>
    <t>240212-S2-H</t>
  </si>
  <si>
    <t>240212-S2-J</t>
  </si>
  <si>
    <t>240213-S2-G</t>
  </si>
  <si>
    <t>240213-S2-H</t>
  </si>
  <si>
    <t>240213-S2-J</t>
  </si>
  <si>
    <t>240214-S2-G</t>
  </si>
  <si>
    <t>240214-S2-H</t>
  </si>
  <si>
    <t>240214-S2-J</t>
  </si>
  <si>
    <t>240215-S2-G</t>
  </si>
  <si>
    <t>240215-S2-H</t>
  </si>
  <si>
    <t>240215-S2-J</t>
  </si>
  <si>
    <t>240216-S2-G</t>
  </si>
  <si>
    <t>240216-S2-J</t>
  </si>
  <si>
    <t>240217-S2-G</t>
  </si>
  <si>
    <t>240217-S2-J</t>
  </si>
  <si>
    <t>240218-S2-G</t>
  </si>
  <si>
    <t>240218-S2-J</t>
  </si>
  <si>
    <t>240219-S2-G</t>
  </si>
  <si>
    <t>240219-S2-H</t>
  </si>
  <si>
    <t>240219-S2-J</t>
  </si>
  <si>
    <t>240220-S2-G</t>
  </si>
  <si>
    <t>240220-S2-J</t>
  </si>
  <si>
    <t>240221-S2-G</t>
  </si>
  <si>
    <t>240221-S2-H</t>
  </si>
  <si>
    <t>240221-S2-J</t>
  </si>
  <si>
    <t>240222-S2-G</t>
  </si>
  <si>
    <t>240222-S2-H</t>
  </si>
  <si>
    <t>240222-S2-J</t>
  </si>
  <si>
    <t>240223-S2-G</t>
  </si>
  <si>
    <t>240223-S2-H</t>
  </si>
  <si>
    <t>240223-S2-J</t>
  </si>
  <si>
    <t>240224-S2-H</t>
  </si>
  <si>
    <t>240224-S2-J</t>
  </si>
  <si>
    <t>240225-S2-H</t>
  </si>
  <si>
    <t>240225-S2-J</t>
  </si>
  <si>
    <t>240226-S2-G</t>
  </si>
  <si>
    <t>240226-S2-H</t>
  </si>
  <si>
    <t>240226-S2-J</t>
  </si>
  <si>
    <t>240227-S2-G</t>
  </si>
  <si>
    <t>240227-S2-H</t>
  </si>
  <si>
    <t>240227-S2-J</t>
  </si>
  <si>
    <t>240228-S2-H</t>
  </si>
  <si>
    <t>240228-S2-J</t>
  </si>
  <si>
    <t>240229-S2-H</t>
  </si>
  <si>
    <t>240229-S2-J</t>
  </si>
  <si>
    <t>240201-S3-G</t>
  </si>
  <si>
    <t>240201-S3-H</t>
  </si>
  <si>
    <t>240201-S3-J</t>
  </si>
  <si>
    <t>240202-S3-G</t>
  </si>
  <si>
    <t>240202-S3-H</t>
  </si>
  <si>
    <t>240202-S3-J</t>
  </si>
  <si>
    <t>240203-S3-J</t>
  </si>
  <si>
    <t>240206-S3-G</t>
  </si>
  <si>
    <t>240206-S3-H</t>
  </si>
  <si>
    <t>240206-S3-J</t>
  </si>
  <si>
    <t>240207-S3-G</t>
  </si>
  <si>
    <t>240207-S3-H</t>
  </si>
  <si>
    <t>240207-S3-J</t>
  </si>
  <si>
    <t>240208-S3-G</t>
  </si>
  <si>
    <t>240208-S3-H</t>
  </si>
  <si>
    <t>240208-S3-J</t>
  </si>
  <si>
    <t>240209-S3-G</t>
  </si>
  <si>
    <t>240209-S3-H</t>
  </si>
  <si>
    <t>240209-S3-J</t>
  </si>
  <si>
    <t>240210-S3-G</t>
  </si>
  <si>
    <t>240210-S3-H</t>
  </si>
  <si>
    <t>240210-S3-J</t>
  </si>
  <si>
    <t>240213-S3-G</t>
  </si>
  <si>
    <t>240213-S3-H</t>
  </si>
  <si>
    <t>240213-S3-J</t>
  </si>
  <si>
    <t>240214-S3-G</t>
  </si>
  <si>
    <t>240214-S3-H</t>
  </si>
  <si>
    <t>240214-S3-J</t>
  </si>
  <si>
    <t>240215-S3-G</t>
  </si>
  <si>
    <t>240215-S3-H</t>
  </si>
  <si>
    <t>240215-S3-J</t>
  </si>
  <si>
    <t>240216-S3-H</t>
  </si>
  <si>
    <t>240216-S3-J</t>
  </si>
  <si>
    <t>240217-S3-H</t>
  </si>
  <si>
    <t>240217-S3-J</t>
  </si>
  <si>
    <t>240220-S3-G</t>
  </si>
  <si>
    <t>240220-S3-H</t>
  </si>
  <si>
    <t>240220-S3-J</t>
  </si>
  <si>
    <t>240221-S3-G</t>
  </si>
  <si>
    <t>240221-S3-J</t>
  </si>
  <si>
    <t>240222-S3-H</t>
  </si>
  <si>
    <t>240222-S3-J</t>
  </si>
  <si>
    <t>240223-S3-G</t>
  </si>
  <si>
    <t>240223-S3-J</t>
  </si>
  <si>
    <t>240224-S3-G</t>
  </si>
  <si>
    <t>240224-S3-H</t>
  </si>
  <si>
    <t>240224-S3-J</t>
  </si>
  <si>
    <t>240227-S3-H</t>
  </si>
  <si>
    <t>240227-S3-J</t>
  </si>
  <si>
    <t>240228-S3-G</t>
  </si>
  <si>
    <t>240228-S3-H</t>
  </si>
  <si>
    <t>240228-S3-J</t>
  </si>
  <si>
    <t>240229-S3-G</t>
  </si>
  <si>
    <t>240229-S3-H</t>
  </si>
  <si>
    <t>240229-S3-J</t>
  </si>
  <si>
    <t>Date</t>
  </si>
  <si>
    <t>Shift</t>
  </si>
  <si>
    <t>LineA-ProdType</t>
  </si>
  <si>
    <t>Received</t>
  </si>
  <si>
    <t>Received Inspected</t>
  </si>
  <si>
    <t>Leftover Inspected</t>
  </si>
  <si>
    <t>Capacity</t>
  </si>
  <si>
    <t>Not Inspected</t>
  </si>
  <si>
    <t>Left From Day Shift for 3rd Shift</t>
  </si>
  <si>
    <t>Inspect Pass</t>
  </si>
  <si>
    <t>Inspectors</t>
  </si>
  <si>
    <t>LineB-ProdType</t>
  </si>
  <si>
    <t>Shipper/Receiver/Porter</t>
  </si>
  <si>
    <t>Batch  ID</t>
  </si>
  <si>
    <t>Batch 1 Qty</t>
  </si>
  <si>
    <t>Batch 1 Pass</t>
  </si>
  <si>
    <t>Batch 2 ID</t>
  </si>
  <si>
    <t>Batch 2 Qty</t>
  </si>
  <si>
    <t>Batch 2 Pass</t>
  </si>
  <si>
    <t>Batch 3 ID</t>
  </si>
  <si>
    <t>Batch 3 Qty</t>
  </si>
  <si>
    <t>Batch 3 Pass</t>
  </si>
  <si>
    <t>Batch 4 ID</t>
  </si>
  <si>
    <t>Batch 4 Qty</t>
  </si>
  <si>
    <t>Batch 4 Pass</t>
  </si>
  <si>
    <t>Batch 5 ID</t>
  </si>
  <si>
    <t>Batch 5 Qty</t>
  </si>
  <si>
    <t>Batch 5 Pass</t>
  </si>
  <si>
    <t>Batch 6 ID</t>
  </si>
  <si>
    <t>Batch 6 Qty</t>
  </si>
  <si>
    <t>Batch 6 Pass</t>
  </si>
  <si>
    <t>240201-S1-D1</t>
  </si>
  <si>
    <t>240201-S1-D2</t>
  </si>
  <si>
    <t>240201-S1-D3</t>
  </si>
  <si>
    <t>240201-S1-D4</t>
  </si>
  <si>
    <t>240201-S1-D6</t>
  </si>
  <si>
    <t>240202-S1-M5</t>
  </si>
  <si>
    <t>240202-S1-M6</t>
  </si>
  <si>
    <t>240202-S1-M7</t>
  </si>
  <si>
    <t>240202-S1-M8</t>
  </si>
  <si>
    <t>240203-S1-M5</t>
  </si>
  <si>
    <t>240203-S1-M6</t>
  </si>
  <si>
    <t>240203-S1-M7</t>
  </si>
  <si>
    <t>240203-S1-M8</t>
  </si>
  <si>
    <t>240204-S1-D1</t>
  </si>
  <si>
    <t>240204-S1-D2</t>
  </si>
  <si>
    <t>240204-S1-D4</t>
  </si>
  <si>
    <t>240204-S1-D5</t>
  </si>
  <si>
    <t>240204-S1-D6</t>
  </si>
  <si>
    <t>240205-S1-M5</t>
  </si>
  <si>
    <t>240205-S1-M6</t>
  </si>
  <si>
    <t>240205-S1-M7</t>
  </si>
  <si>
    <t>240205-S1-M8</t>
  </si>
  <si>
    <t>240206-S1-D1</t>
  </si>
  <si>
    <t>240206-S1-D2</t>
  </si>
  <si>
    <t>240206-S1-D3</t>
  </si>
  <si>
    <t>240206-S1-D4</t>
  </si>
  <si>
    <t>240206-S1-D6</t>
  </si>
  <si>
    <t>240207-S1-M5</t>
  </si>
  <si>
    <t>240207-S1-M7</t>
  </si>
  <si>
    <t>240207-S1-M8</t>
  </si>
  <si>
    <t>240208-S1-M5</t>
  </si>
  <si>
    <t>240208-S1-M6</t>
  </si>
  <si>
    <t>240208-S1-M7</t>
  </si>
  <si>
    <t>240208-S1-M8</t>
  </si>
  <si>
    <t>240209-S1-D1</t>
  </si>
  <si>
    <t>240209-S1-D2</t>
  </si>
  <si>
    <t>240209-S1-D3</t>
  </si>
  <si>
    <t>240209-S1-D4</t>
  </si>
  <si>
    <t>240209-S1-D5</t>
  </si>
  <si>
    <t>240209-S1-D6</t>
  </si>
  <si>
    <t>240210-S1-D1</t>
  </si>
  <si>
    <t>240210-S1-D2</t>
  </si>
  <si>
    <t>240210-S1-D3</t>
  </si>
  <si>
    <t>240210-S1-D4</t>
  </si>
  <si>
    <t>240210-S1-D5</t>
  </si>
  <si>
    <t>240210-S1-D6</t>
  </si>
  <si>
    <t>240211-S1-M5</t>
  </si>
  <si>
    <t>240211-S1-M6</t>
  </si>
  <si>
    <t>240211-S1-M7</t>
  </si>
  <si>
    <t>240211-S1-M8</t>
  </si>
  <si>
    <t>240212-S1-M5</t>
  </si>
  <si>
    <t>240212-S1-M6</t>
  </si>
  <si>
    <t>240212-S1-M7</t>
  </si>
  <si>
    <t>240212-S1-M8</t>
  </si>
  <si>
    <t>240213-S1-M5</t>
  </si>
  <si>
    <t>240213-S1-M6</t>
  </si>
  <si>
    <t>240213-S1-M7</t>
  </si>
  <si>
    <t>240213-S1-M8</t>
  </si>
  <si>
    <t>240214-S1-M5</t>
  </si>
  <si>
    <t>240214-S1-M6</t>
  </si>
  <si>
    <t>240214-S1-M7</t>
  </si>
  <si>
    <t>240214-S1-M8</t>
  </si>
  <si>
    <t>240215-S1-D1</t>
  </si>
  <si>
    <t>240215-S1-D2</t>
  </si>
  <si>
    <t>240215-S1-D3</t>
  </si>
  <si>
    <t>240215-S1-D4</t>
  </si>
  <si>
    <t>240215-S1-D5</t>
  </si>
  <si>
    <t>240215-S1-D6</t>
  </si>
  <si>
    <t>240216-S1-M6</t>
  </si>
  <si>
    <t>240216-S1-M7</t>
  </si>
  <si>
    <t>240216-S1-M8</t>
  </si>
  <si>
    <t>240217-S1-M5</t>
  </si>
  <si>
    <t>240217-S1-M6</t>
  </si>
  <si>
    <t>240217-S1-M8</t>
  </si>
  <si>
    <t>240218-S1-M5</t>
  </si>
  <si>
    <t>240218-S1-M6</t>
  </si>
  <si>
    <t>240218-S1-M7</t>
  </si>
  <si>
    <t>240218-S1-M8</t>
  </si>
  <si>
    <t>240219-S1-M5</t>
  </si>
  <si>
    <t>240219-S1-M6</t>
  </si>
  <si>
    <t>240219-S1-M7</t>
  </si>
  <si>
    <t>240219-S1-M8</t>
  </si>
  <si>
    <t>240220-S1-M5</t>
  </si>
  <si>
    <t>240220-S1-M6</t>
  </si>
  <si>
    <t>240220-S1-M7</t>
  </si>
  <si>
    <t>240220-S1-M8</t>
  </si>
  <si>
    <t>240221-S1-D1</t>
  </si>
  <si>
    <t>240221-S1-D2</t>
  </si>
  <si>
    <t>240221-S1-D3</t>
  </si>
  <si>
    <t>240221-S1-D4</t>
  </si>
  <si>
    <t>240221-S1-D5</t>
  </si>
  <si>
    <t>240221-S1-D6</t>
  </si>
  <si>
    <t>240222-S1-M5</t>
  </si>
  <si>
    <t>240222-S1-M7</t>
  </si>
  <si>
    <t>240222-S1-M8</t>
  </si>
  <si>
    <t>240223-S1-D1</t>
  </si>
  <si>
    <t>240223-S1-D2</t>
  </si>
  <si>
    <t>240223-S1-D3</t>
  </si>
  <si>
    <t>240223-S1-D4</t>
  </si>
  <si>
    <t>240223-S1-D6</t>
  </si>
  <si>
    <t>240224-S1-D1</t>
  </si>
  <si>
    <t>240224-S1-D2</t>
  </si>
  <si>
    <t>240224-S1-D4</t>
  </si>
  <si>
    <t>240224-S1-D5</t>
  </si>
  <si>
    <t>240224-S1-D6</t>
  </si>
  <si>
    <t>240225-S1-D1</t>
  </si>
  <si>
    <t>240225-S1-D3</t>
  </si>
  <si>
    <t>240225-S1-D4</t>
  </si>
  <si>
    <t>240225-S1-D5</t>
  </si>
  <si>
    <t>240225-S1-D6</t>
  </si>
  <si>
    <t>240226-S1-D1</t>
  </si>
  <si>
    <t>240226-S1-D2</t>
  </si>
  <si>
    <t>240226-S1-D3</t>
  </si>
  <si>
    <t>240226-S1-D4</t>
  </si>
  <si>
    <t>240226-S1-D5</t>
  </si>
  <si>
    <t>240226-S1-D6</t>
  </si>
  <si>
    <t>240227-S1-M5</t>
  </si>
  <si>
    <t>240227-S1-M6</t>
  </si>
  <si>
    <t>240227-S1-M7</t>
  </si>
  <si>
    <t>240227-S1-M8</t>
  </si>
  <si>
    <t>240228-S1-M5</t>
  </si>
  <si>
    <t>240228-S1-M6</t>
  </si>
  <si>
    <t>240228-S1-M8</t>
  </si>
  <si>
    <t>240229-S1-M5</t>
  </si>
  <si>
    <t>240229-S1-M6</t>
  </si>
  <si>
    <t>240229-S1-M7</t>
  </si>
  <si>
    <t>240229-S1-M8</t>
  </si>
  <si>
    <t>240201-S2-D1</t>
  </si>
  <si>
    <t>240201-S2-D2</t>
  </si>
  <si>
    <t>240201-S2-D3</t>
  </si>
  <si>
    <t>240201-S2-D4</t>
  </si>
  <si>
    <t>240201-S2-D6</t>
  </si>
  <si>
    <t>240204-S2-D3</t>
  </si>
  <si>
    <t>240205-S2-D1</t>
  </si>
  <si>
    <t>240205-S2-D2</t>
  </si>
  <si>
    <t>240205-S2-D4</t>
  </si>
  <si>
    <t>240205-S2-D5</t>
  </si>
  <si>
    <t>240205-S2-D6</t>
  </si>
  <si>
    <t>240206-S2-M6</t>
  </si>
  <si>
    <t>240206-S2-M7</t>
  </si>
  <si>
    <t>240206-S2-M8</t>
  </si>
  <si>
    <t>240209-S2-M5</t>
  </si>
  <si>
    <t>240209-S2-M6</t>
  </si>
  <si>
    <t>240209-S2-M7</t>
  </si>
  <si>
    <t>240209-S2-M8</t>
  </si>
  <si>
    <t>240210-S2-M5</t>
  </si>
  <si>
    <t>240210-S2-M7</t>
  </si>
  <si>
    <t>240210-S2-M8</t>
  </si>
  <si>
    <t>240212-S2-M5</t>
  </si>
  <si>
    <t>240212-S2-M6</t>
  </si>
  <si>
    <t>240212-S2-M7</t>
  </si>
  <si>
    <t>240212-S2-M8</t>
  </si>
  <si>
    <t>240215-S2-D1</t>
  </si>
  <si>
    <t>240215-S2-D2</t>
  </si>
  <si>
    <t>240215-S2-D4</t>
  </si>
  <si>
    <t>240215-S2-D5</t>
  </si>
  <si>
    <t>240215-S2-D6</t>
  </si>
  <si>
    <t>240216-S2-D1</t>
  </si>
  <si>
    <t>240216-S2-D2</t>
  </si>
  <si>
    <t>240216-S2-D3</t>
  </si>
  <si>
    <t>240216-S2-D4</t>
  </si>
  <si>
    <t>240216-S2-D5</t>
  </si>
  <si>
    <t>240216-S2-D6</t>
  </si>
  <si>
    <t>240217-S2-D1</t>
  </si>
  <si>
    <t>240217-S2-D2</t>
  </si>
  <si>
    <t>240217-S2-D4</t>
  </si>
  <si>
    <t>240217-S2-D5</t>
  </si>
  <si>
    <t>240217-S2-D6</t>
  </si>
  <si>
    <t>240218-S2-M5</t>
  </si>
  <si>
    <t>240218-S2-M6</t>
  </si>
  <si>
    <t>240218-S2-M7</t>
  </si>
  <si>
    <t>240218-S2-M8</t>
  </si>
  <si>
    <t>240219-S2-M5</t>
  </si>
  <si>
    <t>240219-S2-M6</t>
  </si>
  <si>
    <t>240219-S2-M7</t>
  </si>
  <si>
    <t>240219-S2-M8</t>
  </si>
  <si>
    <t>240222-S2-M6</t>
  </si>
  <si>
    <t>240223-S2-D1</t>
  </si>
  <si>
    <t>240223-S2-D2</t>
  </si>
  <si>
    <t>240223-S2-D3</t>
  </si>
  <si>
    <t>240223-S2-D4</t>
  </si>
  <si>
    <t>240223-S2-D5</t>
  </si>
  <si>
    <t>240223-S2-D6</t>
  </si>
  <si>
    <t>240224-S2-M6</t>
  </si>
  <si>
    <t>240225-S2-D1</t>
  </si>
  <si>
    <t>240225-S2-D2</t>
  </si>
  <si>
    <t>240225-S2-D3</t>
  </si>
  <si>
    <t>240225-S2-D4</t>
  </si>
  <si>
    <t>240225-S2-D6</t>
  </si>
  <si>
    <t>240226-S2-D1</t>
  </si>
  <si>
    <t>240226-S2-D2</t>
  </si>
  <si>
    <t>240226-S2-D3</t>
  </si>
  <si>
    <t>240226-S2-D4</t>
  </si>
  <si>
    <t>240226-S2-D5</t>
  </si>
  <si>
    <t>240226-S2-D6</t>
  </si>
  <si>
    <t>240227-S2-D2</t>
  </si>
  <si>
    <t>240227-S2-D3</t>
  </si>
  <si>
    <t>240227-S2-D4</t>
  </si>
  <si>
    <t>240227-S2-D5</t>
  </si>
  <si>
    <t>240227-S2-D6</t>
  </si>
  <si>
    <t>240228-S2-M5</t>
  </si>
  <si>
    <t>240201-S3-M5</t>
  </si>
  <si>
    <t>240201-S3-M7</t>
  </si>
  <si>
    <t>240201-S3-M8</t>
  </si>
  <si>
    <t>240202-S3-M5</t>
  </si>
  <si>
    <t>240202-S3-M6</t>
  </si>
  <si>
    <t>240202-S3-M7</t>
  </si>
  <si>
    <t>240202-S3-M8</t>
  </si>
  <si>
    <t>240203-S3-D1</t>
  </si>
  <si>
    <t>240203-S3-D2</t>
  </si>
  <si>
    <t>240203-S3-D4</t>
  </si>
  <si>
    <t>240203-S3-D5</t>
  </si>
  <si>
    <t>240203-S3-D6</t>
  </si>
  <si>
    <t>240207-S3-M5</t>
  </si>
  <si>
    <t>240207-S3-M6</t>
  </si>
  <si>
    <t>240207-S3-M7</t>
  </si>
  <si>
    <t>240207-S3-M8</t>
  </si>
  <si>
    <t>240208-S3-D1</t>
  </si>
  <si>
    <t>240208-S3-D2</t>
  </si>
  <si>
    <t>240208-S3-D3</t>
  </si>
  <si>
    <t>240208-S3-D4</t>
  </si>
  <si>
    <t>240208-S3-D5</t>
  </si>
  <si>
    <t>240208-S3-D6</t>
  </si>
  <si>
    <t>240209-S3-M5</t>
  </si>
  <si>
    <t>240209-S3-M6</t>
  </si>
  <si>
    <t>240209-S3-M8</t>
  </si>
  <si>
    <t>240210-S3-D2</t>
  </si>
  <si>
    <t>240210-S3-D3</t>
  </si>
  <si>
    <t>240210-S3-D4</t>
  </si>
  <si>
    <t>240210-S3-D5</t>
  </si>
  <si>
    <t>240210-S3-D6</t>
  </si>
  <si>
    <t>240213-S3-M5</t>
  </si>
  <si>
    <t>240213-S3-M6</t>
  </si>
  <si>
    <t>240213-S3-M8</t>
  </si>
  <si>
    <t>240214-S3-M6</t>
  </si>
  <si>
    <t>240214-S3-M7</t>
  </si>
  <si>
    <t>240214-S3-M8</t>
  </si>
  <si>
    <t>240215-S3-D1</t>
  </si>
  <si>
    <t>240216-S3-D1</t>
  </si>
  <si>
    <t>240217-S3-D1</t>
  </si>
  <si>
    <t>240217-S3-D2</t>
  </si>
  <si>
    <t>240217-S3-D3</t>
  </si>
  <si>
    <t>240217-S3-D4</t>
  </si>
  <si>
    <t>240217-S3-D5</t>
  </si>
  <si>
    <t>240217-S3-D6</t>
  </si>
  <si>
    <t>240221-S3-M5</t>
  </si>
  <si>
    <t>240221-S3-M7</t>
  </si>
  <si>
    <t>240221-S3-M8</t>
  </si>
  <si>
    <t>240227-S3-D1</t>
  </si>
  <si>
    <t>240227-S3-D2</t>
  </si>
  <si>
    <t>240227-S3-D3</t>
  </si>
  <si>
    <t>240227-S3-D4</t>
  </si>
  <si>
    <t>240227-S3-D5</t>
  </si>
  <si>
    <t>240227-S3-D6</t>
  </si>
  <si>
    <t>240228-S3-D1</t>
  </si>
  <si>
    <t>240228-S3-D2</t>
  </si>
  <si>
    <t>240228-S3-D4</t>
  </si>
  <si>
    <t>240228-S3-D5</t>
  </si>
  <si>
    <t>240228-S3-D6</t>
  </si>
  <si>
    <t>240229-S3-D1</t>
  </si>
  <si>
    <t>240229-S3-D2</t>
  </si>
  <si>
    <t>240229-S3-D3</t>
  </si>
  <si>
    <t>240229-S3-D4</t>
  </si>
  <si>
    <t>240229-S3-D5</t>
  </si>
  <si>
    <t>240229-S3-D6</t>
  </si>
  <si>
    <t>240201-S1-G</t>
  </si>
  <si>
    <t>240201-S1-H</t>
  </si>
  <si>
    <t>240201-S1-J</t>
  </si>
  <si>
    <t>240202-S1-G</t>
  </si>
  <si>
    <t>240202-S1-H</t>
  </si>
  <si>
    <t>240202-S1-J</t>
  </si>
  <si>
    <t>240203-S1-G</t>
  </si>
  <si>
    <t>240203-S1-H</t>
  </si>
  <si>
    <t>240203-S1-J</t>
  </si>
  <si>
    <t>240204-S1-G</t>
  </si>
  <si>
    <t>240204-S1-H</t>
  </si>
  <si>
    <t>240204-S1-J</t>
  </si>
  <si>
    <t>240205-S1-G</t>
  </si>
  <si>
    <t>240205-S1-H</t>
  </si>
  <si>
    <t>240205-S1-J</t>
  </si>
  <si>
    <t>240206-S1-G</t>
  </si>
  <si>
    <t>240206-S1-J</t>
  </si>
  <si>
    <t>240207-S1-G</t>
  </si>
  <si>
    <t>240207-S1-H</t>
  </si>
  <si>
    <t>240207-S1-J</t>
  </si>
  <si>
    <t>240208-S1-G</t>
  </si>
  <si>
    <t>240208-S1-H</t>
  </si>
  <si>
    <t>240208-S1-J</t>
  </si>
  <si>
    <t>240209-S1-G</t>
  </si>
  <si>
    <t>240209-S1-J</t>
  </si>
  <si>
    <t>240210-S1-G</t>
  </si>
  <si>
    <t>240210-S1-H</t>
  </si>
  <si>
    <t>240210-S1-J</t>
  </si>
  <si>
    <t>240211-S1-G</t>
  </si>
  <si>
    <t>240211-S1-H</t>
  </si>
  <si>
    <t>240211-S1-J</t>
  </si>
  <si>
    <t>240212-S1-G</t>
  </si>
  <si>
    <t>240212-S1-J</t>
  </si>
  <si>
    <t>240213-S1-G</t>
  </si>
  <si>
    <t>240213-S1-H</t>
  </si>
  <si>
    <t>240213-S1-J</t>
  </si>
  <si>
    <t>240214-S1-G</t>
  </si>
  <si>
    <t>240214-S1-H</t>
  </si>
  <si>
    <t>240214-S1-J</t>
  </si>
  <si>
    <t>240215-S1-G</t>
  </si>
  <si>
    <t>240215-S1-H</t>
  </si>
  <si>
    <t>240215-S1-J</t>
  </si>
  <si>
    <t>240216-S1-G</t>
  </si>
  <si>
    <t>240216-S1-H</t>
  </si>
  <si>
    <t>240216-S1-J</t>
  </si>
  <si>
    <t>240217-S1-G</t>
  </si>
  <si>
    <t>240217-S1-H</t>
  </si>
  <si>
    <t>240217-S1-J</t>
  </si>
  <si>
    <t>240218-S1-G</t>
  </si>
  <si>
    <t>240218-S1-H</t>
  </si>
  <si>
    <t>240218-S1-J</t>
  </si>
  <si>
    <t>240219-S1-G</t>
  </si>
  <si>
    <t>240219-S1-H</t>
  </si>
  <si>
    <t>240219-S1-J</t>
  </si>
  <si>
    <t>240220-S1-G</t>
  </si>
  <si>
    <t>240220-S1-H</t>
  </si>
  <si>
    <t>240220-S1-J</t>
  </si>
  <si>
    <t>240221-S1-G</t>
  </si>
  <si>
    <t>240221-S1-H</t>
  </si>
  <si>
    <t>240221-S1-J</t>
  </si>
  <si>
    <t>240222-S1-G</t>
  </si>
  <si>
    <t>240222-S1-H</t>
  </si>
  <si>
    <t>240222-S1-J</t>
  </si>
  <si>
    <t>240223-S1-G</t>
  </si>
  <si>
    <t>240223-S1-H</t>
  </si>
  <si>
    <t>240223-S1-J</t>
  </si>
  <si>
    <t>240224-S1-G</t>
  </si>
  <si>
    <t>240224-S1-H</t>
  </si>
  <si>
    <t>240224-S1-J</t>
  </si>
  <si>
    <t>240225-S1-G</t>
  </si>
  <si>
    <t>240225-S1-H</t>
  </si>
  <si>
    <t>240225-S1-J</t>
  </si>
  <si>
    <t>240226-S1-G</t>
  </si>
  <si>
    <t>240226-S1-H</t>
  </si>
  <si>
    <t>240226-S1-J</t>
  </si>
  <si>
    <t>240227-S1-G</t>
  </si>
  <si>
    <t>240227-S1-H</t>
  </si>
  <si>
    <t>240227-S1-J</t>
  </si>
  <si>
    <t>240228-S1-G</t>
  </si>
  <si>
    <t>240228-S1-H</t>
  </si>
  <si>
    <t>240228-S1-J</t>
  </si>
  <si>
    <t>240229-S1-G</t>
  </si>
  <si>
    <t>240229-S1-H</t>
  </si>
  <si>
    <t>240229-S1-J</t>
  </si>
  <si>
    <t>240201-S2-G</t>
  </si>
  <si>
    <t>240202-S2-H</t>
  </si>
  <si>
    <t>240203-S2-H</t>
  </si>
  <si>
    <t>240204-S2-G</t>
  </si>
  <si>
    <t>240205-S2-G</t>
  </si>
  <si>
    <t>240206-S2-G</t>
  </si>
  <si>
    <t>240208-S2-H</t>
  </si>
  <si>
    <t>240220-S2-H</t>
  </si>
  <si>
    <t>240225-S2-G</t>
  </si>
  <si>
    <t>240229-S2-G</t>
  </si>
  <si>
    <t>240203-S3-H</t>
  </si>
  <si>
    <t>240216-S3-G</t>
  </si>
  <si>
    <t>240217-S3-G</t>
  </si>
  <si>
    <t>240222-S3-G</t>
  </si>
  <si>
    <t>240223-S3-H</t>
  </si>
  <si>
    <t>Supplier Income per Part</t>
  </si>
  <si>
    <t>Supplier Cost to Make</t>
  </si>
  <si>
    <t>Supplier Other Cost</t>
  </si>
  <si>
    <t>Supplier Cost per Part</t>
  </si>
  <si>
    <t>Total Line B $</t>
  </si>
  <si>
    <t>5 Why's</t>
  </si>
  <si>
    <t>Issue</t>
  </si>
  <si>
    <t>4 Stranded TBI Parts on Sun, Mon Shift 3 - Inspect Line Actuals and Capacity on Sun, Mon Day Shifts, Tues to Sat Night Shift #3s</t>
  </si>
  <si>
    <t>Focus</t>
  </si>
  <si>
    <t>Line B, Shift 3, Days 3-7</t>
  </si>
  <si>
    <t>Level 0</t>
  </si>
  <si>
    <t>Level 1</t>
  </si>
  <si>
    <t>Level 2</t>
  </si>
  <si>
    <t>Level 3</t>
  </si>
  <si>
    <t>Level 4</t>
  </si>
  <si>
    <t>Weekly Stranded Parts</t>
  </si>
  <si>
    <t>Reverse Level 0</t>
  </si>
  <si>
    <t>Daily Stranded Parts</t>
  </si>
  <si>
    <t>Reverse Level 2</t>
  </si>
  <si>
    <t>Capacity-utilization summary which compares daily capacity vs received vs stranded parts</t>
  </si>
  <si>
    <t>Question</t>
  </si>
  <si>
    <t>Answers</t>
  </si>
  <si>
    <t>1. High-profit parts are missed due to inefficient prioritization.</t>
  </si>
  <si>
    <t>1. High-profit parts are missed due to inefficient prioritization.
2. Week-start backlog continues unchecked throughout the week.
3. Late-arriving parts miss inspection cutoff times.</t>
  </si>
  <si>
    <t>Chosen Answer</t>
  </si>
  <si>
    <t>Dataset</t>
  </si>
  <si>
    <t>Visualization</t>
  </si>
  <si>
    <t>What’s in it</t>
  </si>
  <si>
    <t>Why are the counts of stranded parts high each week?</t>
  </si>
  <si>
    <t>1. Parts that are not inspected during the first day never get inspected.
2. Inspectors are not motivated to finish all of their work.
3. The Porters are delivering parts TBI to the wrong lines.</t>
  </si>
  <si>
    <t>1. Parts that are not inspected during the first day never get inspected.</t>
  </si>
  <si>
    <t>Why is there a recurring backlog despite known workload?</t>
  </si>
  <si>
    <t>1. Poor scheduling doesn’t account for daily capacity limits.
2. Staff allocation ignores shifts with higher part volume.
3. Porters deliver parts too late for them to be inspected in time.</t>
  </si>
  <si>
    <t>1. Poor scheduling doesn’t account for daily capacity limits.</t>
  </si>
  <si>
    <t>Clustered column chart → Daily Profit Loss</t>
  </si>
  <si>
    <t>Why are certain parts missed more often across weekdays?</t>
  </si>
  <si>
    <t>1. Inconsistent delivery scheduling of TBI parts.</t>
  </si>
  <si>
    <t>Why is the inspection line not adapting to capacity limits efficiently?</t>
  </si>
  <si>
    <t>1. No priority queue system for high-profit parts.
2. Staff are not dynamically reallocated between lines/shifts.
3. Managers don’t review inspection strategy based on historical backlog data.</t>
  </si>
  <si>
    <t>1. No priority queue system for high-profit parts.</t>
  </si>
  <si>
    <t>Week</t>
  </si>
  <si>
    <t>Grand Total</t>
  </si>
  <si>
    <t>1. Inconsistent delivery scheduling of TBI parts.
2. Frequent changeovers and downtime reduce throughput.
3. Specific Product Type-Part combinations are not prioritized in workload.</t>
  </si>
  <si>
    <t>Not Inspected Parts Count by Product Type by Part by Date For Tues to Saturday Shift #3s</t>
  </si>
  <si>
    <t>Not Inspected Parts Count by Product Type by Part by Week (7 days) For Tues to Saturday Shift #3</t>
  </si>
  <si>
    <t>Not Inspected Parts $ Profit Value by Product Type by Part by Date For Tues to Saturday Shift #3</t>
  </si>
  <si>
    <t>Not Inspected Parts $ Profit Value by Product Type by Part by Week (7 days) For Tues to Saturday Shift #3</t>
  </si>
  <si>
    <t>Line B Dataset</t>
  </si>
  <si>
    <t>Why</t>
  </si>
  <si>
    <t>Not Inspected Profit $</t>
  </si>
  <si>
    <t>Sum of Not Inspected Profit $</t>
  </si>
  <si>
    <t>Level 0 - Weekly Stranded Parts</t>
  </si>
  <si>
    <r>
      <t xml:space="preserve">To investigate this, I used the metric: </t>
    </r>
    <r>
      <rPr>
        <b/>
        <sz val="11"/>
        <color theme="1"/>
        <rFont val="Calibri"/>
        <family val="2"/>
        <scheme val="minor"/>
      </rPr>
      <t>Weekly uninspected profit $ by product type</t>
    </r>
    <r>
      <rPr>
        <sz val="11"/>
        <color theme="1"/>
        <rFont val="Calibri"/>
        <family val="2"/>
        <scheme val="minor"/>
      </rPr>
      <t>. This metric reveals how much supplier profit is lost each week due to parts not being inspected on time.</t>
    </r>
  </si>
  <si>
    <t>Insights</t>
  </si>
  <si>
    <t>Why are Product Types' Profits on Parts not maximum?</t>
  </si>
  <si>
    <t>Level 1 - Reverse Level 0</t>
  </si>
  <si>
    <t xml:space="preserve">Why are the counts of stranded parts high each week?							</t>
  </si>
  <si>
    <t xml:space="preserve">1. High-profit parts are missed due to inefficient prioritization.							</t>
  </si>
  <si>
    <r>
      <t xml:space="preserve">To investigate this, I used the metric: </t>
    </r>
    <r>
      <rPr>
        <b/>
        <sz val="11"/>
        <color theme="1"/>
        <rFont val="Calibri"/>
        <family val="2"/>
        <scheme val="minor"/>
      </rPr>
      <t>Weekly count of uninspected parts by product type</t>
    </r>
    <r>
      <rPr>
        <sz val="11"/>
        <color theme="1"/>
        <rFont val="Calibri"/>
        <family val="2"/>
        <scheme val="minor"/>
      </rPr>
      <t>. This metric reverses the profit view and focuses instead on volume — how many parts, not just how much profit, are missed weekly.</t>
    </r>
  </si>
  <si>
    <t>Level 2 - Daily Stranded Parts</t>
  </si>
  <si>
    <t>To investigate this, I used the metric: Daily uninspected profit $ by product type. This reveals how much profit is lost 
each day due to parts not being inspected, helping assess how well scheduling aligns with daily workload patterns.</t>
  </si>
  <si>
    <t>Sum of Not Inspected</t>
  </si>
  <si>
    <t>Level 3 - Reverse Level 2</t>
  </si>
  <si>
    <t>Line chart → Product Type vs Count of Not Inspected parts</t>
  </si>
  <si>
    <t xml:space="preserve">Clustered column chart → Product Type vs Not Inspected Profit $ </t>
  </si>
  <si>
    <t>Stacked column chart → Date vs Count by Product Type</t>
  </si>
  <si>
    <r>
      <t xml:space="preserve">To explore this question, I used the metric: </t>
    </r>
    <r>
      <rPr>
        <b/>
        <sz val="11"/>
        <color theme="1"/>
        <rFont val="Calibri"/>
        <family val="2"/>
        <scheme val="minor"/>
      </rPr>
      <t>Daily count of uninspected parts by product type.</t>
    </r>
    <r>
      <rPr>
        <sz val="11"/>
        <color theme="1"/>
        <rFont val="Calibri"/>
        <family val="2"/>
        <scheme val="minor"/>
      </rPr>
      <t xml:space="preserve"> This reverse view of Level 2 emphasizes when parts are missed in terms of weekday patterns and across shifts, shedding light on delivery or staging inconsistencies.</t>
    </r>
  </si>
  <si>
    <t>Sum of Capacity</t>
  </si>
  <si>
    <t>Sum of Received</t>
  </si>
  <si>
    <t>Level 4 - Capacity</t>
  </si>
  <si>
    <t>Sum of Received Inspected</t>
  </si>
  <si>
    <r>
      <t xml:space="preserve">To explore this, I used the metric: </t>
    </r>
    <r>
      <rPr>
        <b/>
        <sz val="11"/>
        <color theme="1"/>
        <rFont val="Calibri"/>
        <family val="2"/>
        <scheme val="minor"/>
      </rPr>
      <t>Day vs Capacity vs Received vs Received Inspected vs Stranded Parts</t>
    </r>
    <r>
      <rPr>
        <sz val="11"/>
        <color theme="1"/>
        <rFont val="Calibri"/>
        <family val="2"/>
        <scheme val="minor"/>
      </rPr>
      <t>. This metric captures how well daily inspection capacity is utilized in comparison to the number of parts received and ultimately left uninspected. A mismatch here highlights inefficiencies in how parts are queued, prioritized, and cleared for inspection.</t>
    </r>
  </si>
  <si>
    <t>Line B - Shift 3</t>
  </si>
  <si>
    <t>Combo chart → Day vs Capacity vs Received vs Received Inspected vs Stranded (Not Inspected)</t>
  </si>
  <si>
    <t>Sakshi Salvi on July 16th</t>
  </si>
  <si>
    <t>Sakshi Salvi on July 17th</t>
  </si>
  <si>
    <t>Sakshi Salvi on July 23rd</t>
  </si>
  <si>
    <t>Sakshi Salvi on July 30th</t>
  </si>
  <si>
    <t>Created the Level 2-4 Sheets and the Line B - Shift 3 Sheet for customized visualizations for Level 4.</t>
  </si>
  <si>
    <t>Update the ReadMeFirst Sheet and perform calculations on the Inspect DM Sheet.</t>
  </si>
  <si>
    <t>Created the 5 Why's Sheet and Line B Dataset Sheet.</t>
  </si>
  <si>
    <t>Created the Level 0 and Level 1 Sheet.</t>
  </si>
  <si>
    <t>Sakshi Salvi on July 31st</t>
  </si>
  <si>
    <t>Final updates and proofreading.</t>
  </si>
  <si>
    <t>5 why's related to the Issue</t>
  </si>
  <si>
    <t>Needs+Insights</t>
  </si>
  <si>
    <t>A small execute summary and inisghts</t>
  </si>
  <si>
    <t>Filtered Dataset for Inspection Line B</t>
  </si>
  <si>
    <t>Customized Filtered Dataset for Inspection Line B for Shift 3</t>
  </si>
  <si>
    <t>Level 0 visuals and insights</t>
  </si>
  <si>
    <t>Level 1 visuals and insights</t>
  </si>
  <si>
    <t>Level 2 visuals and insights</t>
  </si>
  <si>
    <t>Level 3 visuals and insights</t>
  </si>
  <si>
    <t>Level 4 visuals and insights</t>
  </si>
  <si>
    <t>Client Needs and Executive Summary – INFO8136 Case Study 2</t>
  </si>
  <si>
    <t>Client Need and Insight</t>
  </si>
  <si>
    <t>Key Findings:</t>
  </si>
  <si>
    <r>
      <t>Insight 1</t>
    </r>
    <r>
      <rPr>
        <sz val="11"/>
        <color theme="1"/>
        <rFont val="Calibri"/>
        <family val="2"/>
        <scheme val="minor"/>
      </rPr>
      <t xml:space="preserve"> – </t>
    </r>
    <r>
      <rPr>
        <i/>
        <sz val="11"/>
        <color theme="1"/>
        <rFont val="Calibri"/>
        <family val="2"/>
        <scheme val="minor"/>
      </rPr>
      <t>Shift 3 causes the majority of uninspected profit loss.</t>
    </r>
  </si>
  <si>
    <t>From the visualization of weekly stranded profits, Shift 3 consistently recorded the highest lost profit across multiple weeks. Week 6 alone showed over $2500 in stranded profits, making it a high-risk area needing targeted priority strategies.</t>
  </si>
  <si>
    <r>
      <t>Insight 2</t>
    </r>
    <r>
      <rPr>
        <sz val="11"/>
        <color theme="1"/>
        <rFont val="Calibri"/>
        <family val="2"/>
        <scheme val="minor"/>
      </rPr>
      <t xml:space="preserve"> – </t>
    </r>
    <r>
      <rPr>
        <i/>
        <sz val="11"/>
        <color theme="1"/>
        <rFont val="Calibri"/>
        <family val="2"/>
        <scheme val="minor"/>
      </rPr>
      <t>Inspection capacity is fixed but not strategically used.</t>
    </r>
  </si>
  <si>
    <t>The daily capacity remained flat while received volumes fluctuated. Without a priority queue system, inspection often ignored the highest-value parts, especially when volumes exceeded capacity. The result was predictable and preventable backlogs.</t>
  </si>
  <si>
    <t>Executive Summary</t>
  </si>
  <si>
    <t>1. High-profit parts are consistently missed due to ineffective prioritization in Shift 3.</t>
  </si>
  <si>
    <t>2. Stranded parts accumulate throughout the week due to non-responsive capacity planning.</t>
  </si>
  <si>
    <t>3. Delivery inconsistencies and absence of profit-driven queueing lead to inspection delays.</t>
  </si>
  <si>
    <t>4. The inspection line fails to adapt dynamically to daily workload and part value.</t>
  </si>
  <si>
    <t>Created and updated Needs+Insights Sheet.</t>
  </si>
  <si>
    <t>Sakshi Sandeep Salvi  (she/her)  Initials: SS</t>
  </si>
  <si>
    <t>LPQI Inspection Line B</t>
  </si>
  <si>
    <t>LPQI Shift 3</t>
  </si>
  <si>
    <t>Tuesday to Saturday Shifts</t>
  </si>
  <si>
    <t>Reference Workbook demonstrated in the class.</t>
  </si>
  <si>
    <t>Various Excel formulas for calculations</t>
  </si>
  <si>
    <t>File provided in the feedback sections of assignments to identify the assigned inspection line, shifts, days and issue.</t>
  </si>
  <si>
    <t>Line B - Shift 3 Dataset Filtered - This dataset was filtered for creating Level 4 pivot table and visualization.</t>
  </si>
  <si>
    <t>Some cells were converted from #DIV/0! as workers did not work on Sunday and Monday shifts.</t>
  </si>
  <si>
    <t xml:space="preserve">Inspection Line </t>
  </si>
  <si>
    <t xml:space="preserve">Shift </t>
  </si>
  <si>
    <t>Days of Week</t>
  </si>
  <si>
    <t>Tuesday to Saturday</t>
  </si>
  <si>
    <t>8136 CS2 Dataset B.xlsx</t>
  </si>
  <si>
    <t>List of Four Metric Datasets from 5 Why’s</t>
  </si>
  <si>
    <t>Weekly uninspected profit $ by product type</t>
  </si>
  <si>
    <t>Weekly count of uninspected parts by product type</t>
  </si>
  <si>
    <t>Daily stranded profit $ by date and product type</t>
  </si>
  <si>
    <t>Daily inspection capacity vs parts received vs stranded</t>
  </si>
  <si>
    <t>Daily count of uninspected parts by product type</t>
  </si>
  <si>
    <t>The client faces consistent inspection backlogs that directly impact supplier profits. Despite a fixed capacity, certain shifts — particularly Shift 3, show disproportionately high uninspected volumes, indicating missed inspection windows and inefficiencies in part handling or prioritization.
Data analysis across dates, shifts, and product types revealed that the backlog is not only recurring but also associated with high-value parts. Without dynamic workload balancing or a priority inspection queue, profits are lost due to parts never being inspected at all.</t>
  </si>
  <si>
    <t>Data Source: Inspect DM sheet
Columns Used: Capacity, Received, Recieved Inspected and Not Inspected, Date, LineB-ProdType
Filters Applied: Line B inspection, DayOfWeek = 3 to 7 (Tuesday to Saturday), Shift = 3
Aggregation Method: Daily totals for capacity, parts received, and stranded parts — grouped by Date and LineB-ProdType using a Pivot Table</t>
  </si>
  <si>
    <t>Data Source: Line B Dataset sheet
Columns Used: Week, LineB-ProdType, Shift, and Not Inspected Profit $
Calculation Formula:
Not Inspected Profit $ = Not Inspected × Possible Supplier Profit
Filters Applied:
Line B inspection, Day of Week = 3 to 7 (Tuesday to Saturday), all three shifts included for comparison.</t>
  </si>
  <si>
    <t>Data Source: Inspect DM sheet
Columns Used: Not Inspected, LineB-ProdType
Filters Applied: Line B inspection, Day of Week = 3 to 7 (Tuesday to Saturday), all 3 shifts included for comparison.
Aggregation Method: Count of Not Inspected grouped by Week and LineB-ProdType using a Pivot Table</t>
  </si>
  <si>
    <t>Data Source: Inspect DM sheet
Columns Used: Not Inspected, Possible Supplier Profit, Dates, Shifts
Formula Applied:
Uninspected Profit $ = Not Inspected × Possible Supplier Profit 
Filters Applied: Line B inspection, Day of Week = 3 to 7 (Tue–Sat), all 3 shifts included for comparison.
Aggregation Method: Sum of daily uninspected profit by Date, LineB-ProdType, and Shift</t>
  </si>
  <si>
    <t>Data Source: Inspect DM sheet
Columns Used: Date, Not Inspected, LineB-ProdType
Filters Applied: Line B inspection, DayOfWeek = 3 to 7 (Tuesday to Saturday), all 3 shifts are included for comparison.
Aggregation Method: Daily count of uninspected parts by Shift, Date, and LineB-ProdType (via Pivot Table)</t>
  </si>
  <si>
    <t>Relevance to LPQI:
This chart reveals how late or missed inspections lead to significant profit loss, especially in Shift 3. LPQI can use this to track backlog cost by shift and week.
Use for LPQI:
This can guide LPQI to assign more trained inspectors to Shift 3 or reconfigure part queues so early-day backlogs don’t accumulate, protecting high-margin inventory.</t>
  </si>
  <si>
    <t>Relevance to LPQI:
This chart highlights how inspection delays on certain days—especially during Shift 3—translate into high daily profit losses. LPQI can use this to pinpoint when scheduling inefficiencies create costly backlog spikes.
Use for LPQI:
This can help LPQI proactively adjust daily scheduling by forecasting demand peaks and assigning inspection resources accordingly, especially on high-risk days like Feb 7 and Feb 20, to minimize stranded profit.</t>
  </si>
  <si>
    <t>Relevance to LPQI:
This visualization reveals how poor scheduling results in profit loss spikes on certain days, particularly in Shift 3. LPQI can use this chart to monitor day-wise inspection gaps that trigger missed profit opportunities.
Use for LPQI:
LPQI can improve inspection efficiency by matching capacity with peak-day demand and rebalancing workloads across shifts—especially Shift 3—to reduce frequent stranded parts and recurring daily backlogs.</t>
  </si>
  <si>
    <t>Relevance to LPQI:
This visualization uncovers irregular patterns in uninspected parts across shifts and weekdays, suggesting breakdowns in consistent part delivery. LPQI can use this to detect risks of unsynchronized inflow and weekday-based backlogs.
Use for LPQI:
LPQI can coordinate TBI delivery scheduling and balance shift-wise inflow to avoid spikes. Ensuring steady, predictable part supply across weekdays can improve inspection throughput and prevent inspection failures.</t>
  </si>
  <si>
    <t>Relevance to LPQI:
This visualization highlights a mismatch between received volume and inspection throughput, confirming that fixed capacity without prioritization leads to stranded parts. LPQI can use this to diagnose queueing inefficiencies.
Use for LPQI:
LPQI should implement a dynamic priority system that allocates inspection resources based on part value and urgency. This would prevent high-margin items from being overlooked during volume spikes and reduce long-term backlog.</t>
  </si>
  <si>
    <t>Line B Dataset Filtered - This sheet was created to perform pivot table and visualizations for Level 0-Level 3</t>
  </si>
  <si>
    <t>Met Expectations document to understand the expected content.</t>
  </si>
  <si>
    <t>Column for Not Inspected Profit $ was added (Y)</t>
  </si>
  <si>
    <t>Column for Week number was added (E)</t>
  </si>
  <si>
    <t>Sakshi Salvi on August 1st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</si>
</sst>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Red]\-&quot;$&quot;#,##0"/>
    <numFmt numFmtId="165" formatCode="&quot;$&quot;#,##0.00;[Red]\-&quot;$&quot;#,##0.00"/>
    <numFmt numFmtId="166" formatCode="[$-F800]dddd\,\ mmmm\ dd\,\ yyyy"/>
    <numFmt numFmtId="167" formatCode="0.0000"/>
  </numFmts>
  <fonts count="18">
    <font>
      <sz val="11"/>
      <color theme="1"/>
      <name val="Calibri"/>
      <family val="2"/>
      <scheme val="minor"/>
    </font>
    <font>
      <b/>
      <sz val="11"/>
      <color theme="1"/>
      <name val="Calibri"/>
      <family val="2"/>
      <scheme val="minor"/>
    </font>
    <font>
      <u/>
      <sz val="11"/>
      <color theme="10"/>
      <name val="Calibri"/>
      <family val="2"/>
      <scheme val="minor"/>
    </font>
    <font>
      <sz val="14"/>
      <color theme="1"/>
      <name val="Calibri"/>
      <family val="2"/>
      <scheme val="minor"/>
    </font>
    <font>
      <sz val="11"/>
      <color rgb="FF000000"/>
      <name val="Calibri"/>
      <family val="2"/>
      <scheme val="minor"/>
    </font>
    <font>
      <u/>
      <sz val="11"/>
      <color theme="1"/>
      <name val="Calibri"/>
      <family val="2"/>
      <scheme val="minor"/>
    </font>
    <font>
      <i/>
      <sz val="11"/>
      <color theme="1"/>
      <name val="Calibri"/>
      <family val="2"/>
      <scheme val="minor"/>
    </font>
    <font>
      <b/>
      <sz val="9"/>
      <color indexed="81"/>
      <name val="Tahoma"/>
      <family val="2"/>
    </font>
    <font>
      <sz val="9"/>
      <color indexed="81"/>
      <name val="Tahoma"/>
      <family val="2"/>
    </font>
    <font>
      <sz val="16"/>
      <color theme="1"/>
      <name val="Calibri"/>
      <family val="2"/>
      <scheme val="minor"/>
    </font>
    <font>
      <b/>
      <sz val="9"/>
      <color rgb="FF000000"/>
      <name val="Tahoma"/>
      <family val="2"/>
    </font>
    <font>
      <sz val="9"/>
      <color rgb="FF000000"/>
      <name val="Tahoma"/>
      <family val="2"/>
    </font>
    <font>
      <b/>
      <sz val="14"/>
      <color theme="1"/>
      <name val="Calibri"/>
      <family val="2"/>
      <scheme val="minor"/>
    </font>
    <font>
      <i/>
      <sz val="15"/>
      <color theme="1"/>
      <name val="Helvetica"/>
      <family val="2"/>
    </font>
    <font>
      <b/>
      <sz val="12"/>
      <color theme="1"/>
      <name val="Calibri"/>
      <family val="2"/>
      <scheme val="minor"/>
    </font>
    <font>
      <b/>
      <sz val="14"/>
      <color theme="1"/>
      <name val="Calibri (Body)"/>
    </font>
    <font>
      <b/>
      <sz val="13.5"/>
      <color theme="1"/>
      <name val="Calibri"/>
      <family val="2"/>
      <scheme val="minor"/>
    </font>
    <font>
      <sz val="11"/>
      <color theme="1"/>
      <name val="Calibri"/>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59">
    <xf numFmtId="0" fontId="0" fillId="0" borderId="0" xfId="0"/>
    <xf numFmtId="0" fontId="3" fillId="0" borderId="0" xfId="0" applyFont="1"/>
    <xf numFmtId="0" fontId="1" fillId="0" borderId="0" xfId="0" applyFont="1"/>
    <xf numFmtId="0" fontId="4" fillId="0" borderId="0" xfId="0" applyFont="1"/>
    <xf numFmtId="166" fontId="0" fillId="0" borderId="0" xfId="0" applyNumberFormat="1" applyAlignment="1">
      <alignment horizontal="left"/>
    </xf>
    <xf numFmtId="0" fontId="5" fillId="0" borderId="0" xfId="0" applyFont="1"/>
    <xf numFmtId="0" fontId="2" fillId="0" borderId="0" xfId="1"/>
    <xf numFmtId="0" fontId="0" fillId="0" borderId="0" xfId="0" applyAlignment="1">
      <alignment wrapText="1"/>
    </xf>
    <xf numFmtId="0" fontId="6" fillId="0" borderId="0" xfId="0" applyFont="1"/>
    <xf numFmtId="0" fontId="0" fillId="0" borderId="0" xfId="0" quotePrefix="1"/>
    <xf numFmtId="164" fontId="0" fillId="0" borderId="0" xfId="0" applyNumberFormat="1"/>
    <xf numFmtId="165" fontId="0" fillId="0" borderId="0" xfId="0" applyNumberFormat="1"/>
    <xf numFmtId="9" fontId="0" fillId="0" borderId="0" xfId="0" applyNumberFormat="1"/>
    <xf numFmtId="15" fontId="0" fillId="0" borderId="0" xfId="0" applyNumberFormat="1"/>
    <xf numFmtId="0" fontId="9" fillId="0" borderId="0" xfId="0" applyFont="1"/>
    <xf numFmtId="14" fontId="0" fillId="0" borderId="0" xfId="0" applyNumberFormat="1"/>
    <xf numFmtId="15" fontId="0" fillId="0" borderId="0" xfId="0" applyNumberFormat="1" applyAlignment="1">
      <alignment wrapText="1"/>
    </xf>
    <xf numFmtId="167" fontId="0" fillId="0" borderId="0" xfId="0" applyNumberFormat="1"/>
    <xf numFmtId="2" fontId="0" fillId="0" borderId="0" xfId="0" applyNumberFormat="1"/>
    <xf numFmtId="1" fontId="0" fillId="0" borderId="0" xfId="0" applyNumberFormat="1"/>
    <xf numFmtId="0" fontId="0" fillId="0" borderId="1" xfId="0" applyBorder="1"/>
    <xf numFmtId="0" fontId="13" fillId="0" borderId="0" xfId="0" applyFont="1"/>
    <xf numFmtId="0" fontId="0" fillId="0" borderId="0" xfId="0" pivotButton="1"/>
    <xf numFmtId="0" fontId="12" fillId="0" borderId="0" xfId="0" applyFont="1" applyAlignment="1">
      <alignment horizontal="center"/>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0" xfId="0" pivotButton="1" applyAlignment="1">
      <alignment wrapText="1"/>
    </xf>
    <xf numFmtId="0" fontId="4" fillId="0" borderId="0" xfId="0" applyFont="1" applyAlignment="1">
      <alignment wrapText="1"/>
    </xf>
    <xf numFmtId="0" fontId="1" fillId="0" borderId="1" xfId="0" applyFont="1" applyBorder="1"/>
    <xf numFmtId="0" fontId="17" fillId="0" borderId="0" xfId="1" applyFont="1"/>
    <xf numFmtId="0" fontId="1" fillId="0" borderId="5" xfId="0" applyFont="1" applyBorder="1" applyAlignment="1">
      <alignment horizontal="center"/>
    </xf>
    <xf numFmtId="0" fontId="1" fillId="0" borderId="8" xfId="0" applyFont="1" applyBorder="1" applyAlignment="1">
      <alignment horizontal="center"/>
    </xf>
    <xf numFmtId="0" fontId="1" fillId="0" borderId="5" xfId="0" applyFont="1" applyBorder="1" applyAlignment="1">
      <alignment horizontal="center" vertical="center"/>
    </xf>
    <xf numFmtId="0" fontId="17" fillId="0" borderId="0" xfId="1" applyFont="1"/>
    <xf numFmtId="0" fontId="14" fillId="0" borderId="1" xfId="0" applyFont="1" applyBorder="1"/>
    <xf numFmtId="0" fontId="0" fillId="0" borderId="1" xfId="0" applyBorder="1" applyAlignment="1">
      <alignment wrapText="1"/>
    </xf>
    <xf numFmtId="0" fontId="1" fillId="0" borderId="1" xfId="0" applyFont="1" applyBorder="1"/>
    <xf numFmtId="0" fontId="0" fillId="0" borderId="1" xfId="0" applyBorder="1"/>
    <xf numFmtId="0" fontId="4" fillId="0" borderId="5" xfId="0" applyFont="1" applyBorder="1"/>
    <xf numFmtId="0" fontId="4" fillId="0" borderId="6" xfId="0" applyFont="1" applyBorder="1"/>
    <xf numFmtId="0" fontId="4" fillId="0" borderId="7" xfId="0" applyFont="1" applyBorder="1"/>
    <xf numFmtId="0" fontId="16" fillId="0" borderId="1" xfId="0" applyFont="1" applyBorder="1" applyAlignment="1">
      <alignment horizontal="center"/>
    </xf>
    <xf numFmtId="0" fontId="0" fillId="0" borderId="1" xfId="0" applyBorder="1" applyAlignment="1">
      <alignment horizontal="left"/>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2" fillId="0" borderId="1" xfId="1" applyBorder="1"/>
    <xf numFmtId="0" fontId="0" fillId="0" borderId="5" xfId="0" applyBorder="1" applyAlignment="1">
      <alignment wrapText="1"/>
    </xf>
    <xf numFmtId="0" fontId="0" fillId="0" borderId="6" xfId="0" applyBorder="1"/>
    <xf numFmtId="0" fontId="0" fillId="0" borderId="7" xfId="0" applyBorder="1"/>
    <xf numFmtId="0" fontId="12" fillId="0" borderId="1" xfId="0" applyFont="1" applyBorder="1" applyAlignment="1">
      <alignment horizontal="center"/>
    </xf>
    <xf numFmtId="0" fontId="0" fillId="0" borderId="0" xfId="0"/>
    <xf numFmtId="0" fontId="3" fillId="0" borderId="1" xfId="0" applyFont="1" applyBorder="1" applyAlignment="1">
      <alignment horizontal="center"/>
    </xf>
    <xf numFmtId="0" fontId="15" fillId="0" borderId="1" xfId="0" applyFont="1" applyBorder="1" applyAlignment="1">
      <alignment horizontal="center"/>
    </xf>
    <xf numFmtId="0" fontId="14" fillId="0" borderId="1" xfId="0" applyFont="1" applyBorder="1" applyAlignment="1">
      <alignment horizontal="center"/>
    </xf>
    <xf numFmtId="0" fontId="0" fillId="0" borderId="4"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4" xfId="0" applyBorder="1"/>
  </cellXfs>
  <cellStyles count="2">
    <cellStyle name="Hyperlink" xfId="1" builtinId="8"/>
    <cellStyle name="Normal" xfId="0" builtinId="0"/>
  </cellStyles>
  <dxfs count="18">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[8136 CS2 DataSet B.xlsx]Level 0!PivotTable6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Weekly Uninspected Profit $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'Level 0'!$C$4:$C$5</c:f>
              <c:strCache>
                <c:ptCount val="1"/>
                <c:pt idx="0">
                  <c:v>1</c:v>
                </c:pt>
              </c:strCache>
            </c:strRef>
          </c:tx>
          <c:spPr>
            <a:solidFill>
              <a:schemeClr val="accent1"/>
            </a:solidFill>
            <a:ln>
              <a:noFill/>
            </a:ln>
            <a:effectLst/>
          </c:spPr>
          <c:invertIfNegative val="0"/>
          <c:cat>
            <c:multiLvlStrRef>
              <c:f>'Level 0'!$A$6:$B$11</c:f>
              <c:multiLvlStrCache>
                <c:ptCount val="5"/>
                <c:lvl>
                  <c:pt idx="0">
                    <c:v>105</c:v>
                  </c:pt>
                  <c:pt idx="1">
                    <c:v>105</c:v>
                  </c:pt>
                  <c:pt idx="2">
                    <c:v>105</c:v>
                  </c:pt>
                  <c:pt idx="3">
                    <c:v>105</c:v>
                  </c:pt>
                  <c:pt idx="4">
                    <c:v>105</c:v>
                  </c:pt>
                </c:lvl>
                <c:lvl>
                  <c:pt idx="0">
                    <c:v>5</c:v>
                  </c:pt>
                  <c:pt idx="1">
                    <c:v>6</c:v>
                  </c:pt>
                  <c:pt idx="2">
                    <c:v>7</c:v>
                  </c:pt>
                  <c:pt idx="3">
                    <c:v>8</c:v>
                  </c:pt>
                  <c:pt idx="4">
                    <c:v>9</c:v>
                  </c:pt>
                </c:lvl>
              </c:multiLvlStrCache>
            </c:multiLvlStrRef>
          </c:cat>
          <c:val>
            <c:numRef>
              <c:f>'Level 0'!$C$6:$C$11</c:f>
              <c:numCache>
                <c:formatCode>0.00</c:formatCode>
                <c:ptCount val="5"/>
                <c:pt idx="0">
                  <c:v>111006</c:v>
                </c:pt>
                <c:pt idx="1">
                  <c:v>140853</c:v>
                </c:pt>
                <c:pt idx="2">
                  <c:v>71553</c:v>
                </c:pt>
                <c:pt idx="3">
                  <c:v>157207</c:v>
                </c:pt>
                <c:pt idx="4">
                  <c:v>5366</c:v>
                </c:pt>
              </c:numCache>
            </c:numRef>
          </c:val>
          <c:extLst>
            <c:ext xmlns:c16="http://schemas.microsoft.com/office/drawing/2014/chart" uri="{C3380CC4-5D6E-409C-BE32-E72D297353CC}">
              <c16:uniqueId val="{00000000-0127-654E-B9CE-A345FDBB7A80}"/>
            </c:ext>
          </c:extLst>
        </c:ser>
        <c:ser>
          <c:idx val="1"/>
          <c:order val="1"/>
          <c:tx>
            <c:strRef>
              <c:f>'Level 0'!$D$4:$D$5</c:f>
              <c:strCache>
                <c:ptCount val="1"/>
                <c:pt idx="0">
                  <c:v>2</c:v>
                </c:pt>
              </c:strCache>
            </c:strRef>
          </c:tx>
          <c:spPr>
            <a:solidFill>
              <a:schemeClr val="accent2"/>
            </a:solidFill>
            <a:ln>
              <a:noFill/>
            </a:ln>
            <a:effectLst/>
          </c:spPr>
          <c:invertIfNegative val="0"/>
          <c:cat>
            <c:multiLvlStrRef>
              <c:f>'Level 0'!$A$6:$B$11</c:f>
              <c:multiLvlStrCache>
                <c:ptCount val="5"/>
                <c:lvl>
                  <c:pt idx="0">
                    <c:v>105</c:v>
                  </c:pt>
                  <c:pt idx="1">
                    <c:v>105</c:v>
                  </c:pt>
                  <c:pt idx="2">
                    <c:v>105</c:v>
                  </c:pt>
                  <c:pt idx="3">
                    <c:v>105</c:v>
                  </c:pt>
                  <c:pt idx="4">
                    <c:v>105</c:v>
                  </c:pt>
                </c:lvl>
                <c:lvl>
                  <c:pt idx="0">
                    <c:v>5</c:v>
                  </c:pt>
                  <c:pt idx="1">
                    <c:v>6</c:v>
                  </c:pt>
                  <c:pt idx="2">
                    <c:v>7</c:v>
                  </c:pt>
                  <c:pt idx="3">
                    <c:v>8</c:v>
                  </c:pt>
                  <c:pt idx="4">
                    <c:v>9</c:v>
                  </c:pt>
                </c:lvl>
              </c:multiLvlStrCache>
            </c:multiLvlStrRef>
          </c:cat>
          <c:val>
            <c:numRef>
              <c:f>'Level 0'!$D$6:$D$11</c:f>
              <c:numCache>
                <c:formatCode>0.00</c:formatCode>
                <c:ptCount val="5"/>
                <c:pt idx="0">
                  <c:v>17578</c:v>
                </c:pt>
                <c:pt idx="1">
                  <c:v>113541</c:v>
                </c:pt>
                <c:pt idx="2">
                  <c:v>53534</c:v>
                </c:pt>
                <c:pt idx="3">
                  <c:v>78198</c:v>
                </c:pt>
                <c:pt idx="4">
                  <c:v>132039</c:v>
                </c:pt>
              </c:numCache>
            </c:numRef>
          </c:val>
          <c:extLst>
            <c:ext xmlns:c16="http://schemas.microsoft.com/office/drawing/2014/chart" uri="{C3380CC4-5D6E-409C-BE32-E72D297353CC}">
              <c16:uniqueId val="{00000001-0127-654E-B9CE-A345FDBB7A80}"/>
            </c:ext>
          </c:extLst>
        </c:ser>
        <c:ser>
          <c:idx val="2"/>
          <c:order val="2"/>
          <c:tx>
            <c:strRef>
              <c:f>'Level 0'!$E$4:$E$5</c:f>
              <c:strCache>
                <c:ptCount val="1"/>
                <c:pt idx="0">
                  <c:v>3</c:v>
                </c:pt>
              </c:strCache>
            </c:strRef>
          </c:tx>
          <c:spPr>
            <a:solidFill>
              <a:schemeClr val="accent3"/>
            </a:solidFill>
            <a:ln>
              <a:noFill/>
            </a:ln>
            <a:effectLst/>
          </c:spPr>
          <c:invertIfNegative val="0"/>
          <c:cat>
            <c:multiLvlStrRef>
              <c:f>'Level 0'!$A$6:$B$11</c:f>
              <c:multiLvlStrCache>
                <c:ptCount val="5"/>
                <c:lvl>
                  <c:pt idx="0">
                    <c:v>105</c:v>
                  </c:pt>
                  <c:pt idx="1">
                    <c:v>105</c:v>
                  </c:pt>
                  <c:pt idx="2">
                    <c:v>105</c:v>
                  </c:pt>
                  <c:pt idx="3">
                    <c:v>105</c:v>
                  </c:pt>
                  <c:pt idx="4">
                    <c:v>105</c:v>
                  </c:pt>
                </c:lvl>
                <c:lvl>
                  <c:pt idx="0">
                    <c:v>5</c:v>
                  </c:pt>
                  <c:pt idx="1">
                    <c:v>6</c:v>
                  </c:pt>
                  <c:pt idx="2">
                    <c:v>7</c:v>
                  </c:pt>
                  <c:pt idx="3">
                    <c:v>8</c:v>
                  </c:pt>
                  <c:pt idx="4">
                    <c:v>9</c:v>
                  </c:pt>
                </c:lvl>
              </c:multiLvlStrCache>
            </c:multiLvlStrRef>
          </c:cat>
          <c:val>
            <c:numRef>
              <c:f>'Level 0'!$E$6:$E$11</c:f>
              <c:numCache>
                <c:formatCode>0.00</c:formatCode>
                <c:ptCount val="5"/>
                <c:pt idx="0">
                  <c:v>173430</c:v>
                </c:pt>
                <c:pt idx="1">
                  <c:v>441064</c:v>
                </c:pt>
                <c:pt idx="2">
                  <c:v>56760</c:v>
                </c:pt>
                <c:pt idx="3">
                  <c:v>110496</c:v>
                </c:pt>
                <c:pt idx="4">
                  <c:v>66766</c:v>
                </c:pt>
              </c:numCache>
            </c:numRef>
          </c:val>
          <c:extLst>
            <c:ext xmlns:c16="http://schemas.microsoft.com/office/drawing/2014/chart" uri="{C3380CC4-5D6E-409C-BE32-E72D297353CC}">
              <c16:uniqueId val="{00000002-0127-654E-B9CE-A345FDBB7A80}"/>
            </c:ext>
          </c:extLst>
        </c:ser>
        <c:dLbls>
          <c:showLegendKey val="0"/>
          <c:showVal val="0"/>
          <c:showCatName val="0"/>
          <c:showSerName val="0"/>
          <c:showPercent val="0"/>
          <c:showBubbleSize val="0"/>
        </c:dLbls>
        <c:gapWidth val="219"/>
        <c:axId val="1219701471"/>
        <c:axId val="1441910399"/>
      </c:barChart>
      <c:catAx>
        <c:axId val="1219701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 Type and Week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910399"/>
        <c:crosses val="autoZero"/>
        <c:auto val="1"/>
        <c:lblAlgn val="ctr"/>
        <c:lblOffset val="100"/>
        <c:noMultiLvlLbl val="0"/>
      </c:catAx>
      <c:valAx>
        <c:axId val="1441910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Not</a:t>
                </a:r>
                <a:r>
                  <a:rPr lang="en-US" b="1" baseline="0"/>
                  <a:t> Inspected Profit $</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70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[8136 CS2 DataSet B.xlsx]Level 0!PivotTable6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Weekly Uninspected Profit $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'Level 0'!$C$4:$C$5</c:f>
              <c:strCache>
                <c:ptCount val="1"/>
                <c:pt idx="0">
                  <c:v>1</c:v>
                </c:pt>
              </c:strCache>
            </c:strRef>
          </c:tx>
          <c:spPr>
            <a:solidFill>
              <a:schemeClr val="accent1"/>
            </a:solidFill>
            <a:ln>
              <a:noFill/>
            </a:ln>
            <a:effectLst/>
          </c:spPr>
          <c:invertIfNegative val="0"/>
          <c:cat>
            <c:multiLvlStrRef>
              <c:f>'Level 0'!$A$6:$B$11</c:f>
              <c:multiLvlStrCache>
                <c:ptCount val="5"/>
                <c:lvl>
                  <c:pt idx="0">
                    <c:v>105</c:v>
                  </c:pt>
                  <c:pt idx="1">
                    <c:v>105</c:v>
                  </c:pt>
                  <c:pt idx="2">
                    <c:v>105</c:v>
                  </c:pt>
                  <c:pt idx="3">
                    <c:v>105</c:v>
                  </c:pt>
                  <c:pt idx="4">
                    <c:v>105</c:v>
                  </c:pt>
                </c:lvl>
                <c:lvl>
                  <c:pt idx="0">
                    <c:v>5</c:v>
                  </c:pt>
                  <c:pt idx="1">
                    <c:v>6</c:v>
                  </c:pt>
                  <c:pt idx="2">
                    <c:v>7</c:v>
                  </c:pt>
                  <c:pt idx="3">
                    <c:v>8</c:v>
                  </c:pt>
                  <c:pt idx="4">
                    <c:v>9</c:v>
                  </c:pt>
                </c:lvl>
              </c:multiLvlStrCache>
            </c:multiLvlStrRef>
          </c:cat>
          <c:val>
            <c:numRef>
              <c:f>'Level 0'!$C$6:$C$11</c:f>
              <c:numCache>
                <c:formatCode>0.00</c:formatCode>
                <c:ptCount val="5"/>
                <c:pt idx="0">
                  <c:v>111006</c:v>
                </c:pt>
                <c:pt idx="1">
                  <c:v>140853</c:v>
                </c:pt>
                <c:pt idx="2">
                  <c:v>71553</c:v>
                </c:pt>
                <c:pt idx="3">
                  <c:v>157207</c:v>
                </c:pt>
                <c:pt idx="4">
                  <c:v>5366</c:v>
                </c:pt>
              </c:numCache>
            </c:numRef>
          </c:val>
          <c:extLst>
            <c:ext xmlns:c16="http://schemas.microsoft.com/office/drawing/2014/chart" uri="{C3380CC4-5D6E-409C-BE32-E72D297353CC}">
              <c16:uniqueId val="{00000000-30AE-3A4D-93E8-96B9A7ACF43C}"/>
            </c:ext>
          </c:extLst>
        </c:ser>
        <c:ser>
          <c:idx val="1"/>
          <c:order val="1"/>
          <c:tx>
            <c:strRef>
              <c:f>'Level 0'!$D$4:$D$5</c:f>
              <c:strCache>
                <c:ptCount val="1"/>
                <c:pt idx="0">
                  <c:v>2</c:v>
                </c:pt>
              </c:strCache>
            </c:strRef>
          </c:tx>
          <c:spPr>
            <a:solidFill>
              <a:schemeClr val="accent2"/>
            </a:solidFill>
            <a:ln>
              <a:noFill/>
            </a:ln>
            <a:effectLst/>
          </c:spPr>
          <c:invertIfNegative val="0"/>
          <c:cat>
            <c:multiLvlStrRef>
              <c:f>'Level 0'!$A$6:$B$11</c:f>
              <c:multiLvlStrCache>
                <c:ptCount val="5"/>
                <c:lvl>
                  <c:pt idx="0">
                    <c:v>105</c:v>
                  </c:pt>
                  <c:pt idx="1">
                    <c:v>105</c:v>
                  </c:pt>
                  <c:pt idx="2">
                    <c:v>105</c:v>
                  </c:pt>
                  <c:pt idx="3">
                    <c:v>105</c:v>
                  </c:pt>
                  <c:pt idx="4">
                    <c:v>105</c:v>
                  </c:pt>
                </c:lvl>
                <c:lvl>
                  <c:pt idx="0">
                    <c:v>5</c:v>
                  </c:pt>
                  <c:pt idx="1">
                    <c:v>6</c:v>
                  </c:pt>
                  <c:pt idx="2">
                    <c:v>7</c:v>
                  </c:pt>
                  <c:pt idx="3">
                    <c:v>8</c:v>
                  </c:pt>
                  <c:pt idx="4">
                    <c:v>9</c:v>
                  </c:pt>
                </c:lvl>
              </c:multiLvlStrCache>
            </c:multiLvlStrRef>
          </c:cat>
          <c:val>
            <c:numRef>
              <c:f>'Level 0'!$D$6:$D$11</c:f>
              <c:numCache>
                <c:formatCode>0.00</c:formatCode>
                <c:ptCount val="5"/>
                <c:pt idx="0">
                  <c:v>17578</c:v>
                </c:pt>
                <c:pt idx="1">
                  <c:v>113541</c:v>
                </c:pt>
                <c:pt idx="2">
                  <c:v>53534</c:v>
                </c:pt>
                <c:pt idx="3">
                  <c:v>78198</c:v>
                </c:pt>
                <c:pt idx="4">
                  <c:v>132039</c:v>
                </c:pt>
              </c:numCache>
            </c:numRef>
          </c:val>
          <c:extLst>
            <c:ext xmlns:c16="http://schemas.microsoft.com/office/drawing/2014/chart" uri="{C3380CC4-5D6E-409C-BE32-E72D297353CC}">
              <c16:uniqueId val="{00000001-30AE-3A4D-93E8-96B9A7ACF43C}"/>
            </c:ext>
          </c:extLst>
        </c:ser>
        <c:ser>
          <c:idx val="2"/>
          <c:order val="2"/>
          <c:tx>
            <c:strRef>
              <c:f>'Level 0'!$E$4:$E$5</c:f>
              <c:strCache>
                <c:ptCount val="1"/>
                <c:pt idx="0">
                  <c:v>3</c:v>
                </c:pt>
              </c:strCache>
            </c:strRef>
          </c:tx>
          <c:spPr>
            <a:solidFill>
              <a:schemeClr val="accent3"/>
            </a:solidFill>
            <a:ln>
              <a:noFill/>
            </a:ln>
            <a:effectLst/>
          </c:spPr>
          <c:invertIfNegative val="0"/>
          <c:cat>
            <c:multiLvlStrRef>
              <c:f>'Level 0'!$A$6:$B$11</c:f>
              <c:multiLvlStrCache>
                <c:ptCount val="5"/>
                <c:lvl>
                  <c:pt idx="0">
                    <c:v>105</c:v>
                  </c:pt>
                  <c:pt idx="1">
                    <c:v>105</c:v>
                  </c:pt>
                  <c:pt idx="2">
                    <c:v>105</c:v>
                  </c:pt>
                  <c:pt idx="3">
                    <c:v>105</c:v>
                  </c:pt>
                  <c:pt idx="4">
                    <c:v>105</c:v>
                  </c:pt>
                </c:lvl>
                <c:lvl>
                  <c:pt idx="0">
                    <c:v>5</c:v>
                  </c:pt>
                  <c:pt idx="1">
                    <c:v>6</c:v>
                  </c:pt>
                  <c:pt idx="2">
                    <c:v>7</c:v>
                  </c:pt>
                  <c:pt idx="3">
                    <c:v>8</c:v>
                  </c:pt>
                  <c:pt idx="4">
                    <c:v>9</c:v>
                  </c:pt>
                </c:lvl>
              </c:multiLvlStrCache>
            </c:multiLvlStrRef>
          </c:cat>
          <c:val>
            <c:numRef>
              <c:f>'Level 0'!$E$6:$E$11</c:f>
              <c:numCache>
                <c:formatCode>0.00</c:formatCode>
                <c:ptCount val="5"/>
                <c:pt idx="0">
                  <c:v>173430</c:v>
                </c:pt>
                <c:pt idx="1">
                  <c:v>441064</c:v>
                </c:pt>
                <c:pt idx="2">
                  <c:v>56760</c:v>
                </c:pt>
                <c:pt idx="3">
                  <c:v>110496</c:v>
                </c:pt>
                <c:pt idx="4">
                  <c:v>66766</c:v>
                </c:pt>
              </c:numCache>
            </c:numRef>
          </c:val>
          <c:extLst>
            <c:ext xmlns:c16="http://schemas.microsoft.com/office/drawing/2014/chart" uri="{C3380CC4-5D6E-409C-BE32-E72D297353CC}">
              <c16:uniqueId val="{00000002-30AE-3A4D-93E8-96B9A7ACF43C}"/>
            </c:ext>
          </c:extLst>
        </c:ser>
        <c:dLbls>
          <c:showLegendKey val="0"/>
          <c:showVal val="0"/>
          <c:showCatName val="0"/>
          <c:showSerName val="0"/>
          <c:showPercent val="0"/>
          <c:showBubbleSize val="0"/>
        </c:dLbls>
        <c:gapWidth val="219"/>
        <c:axId val="1219701471"/>
        <c:axId val="1441910399"/>
      </c:barChart>
      <c:catAx>
        <c:axId val="1219701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 Type and Week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910399"/>
        <c:crosses val="autoZero"/>
        <c:auto val="1"/>
        <c:lblAlgn val="ctr"/>
        <c:lblOffset val="100"/>
        <c:noMultiLvlLbl val="0"/>
      </c:catAx>
      <c:valAx>
        <c:axId val="1441910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Not</a:t>
                </a:r>
                <a:r>
                  <a:rPr lang="en-US" b="1" baseline="0"/>
                  <a:t> Inspected Profit $</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70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[8136 CS2 DataSet B.xlsx]Level 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Product Type vs Count of Not Inspected parts by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'Level 1'!$C$3:$C$4</c:f>
              <c:strCache>
                <c:ptCount val="1"/>
                <c:pt idx="0">
                  <c:v>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'Level 1'!$A$5:$B$10</c:f>
              <c:multiLvlStrCache>
                <c:ptCount val="5"/>
                <c:lvl>
                  <c:pt idx="0">
                    <c:v>105</c:v>
                  </c:pt>
                  <c:pt idx="1">
                    <c:v>105</c:v>
                  </c:pt>
                  <c:pt idx="2">
                    <c:v>105</c:v>
                  </c:pt>
                  <c:pt idx="3">
                    <c:v>105</c:v>
                  </c:pt>
                  <c:pt idx="4">
                    <c:v>105</c:v>
                  </c:pt>
                </c:lvl>
                <c:lvl>
                  <c:pt idx="0">
                    <c:v>5</c:v>
                  </c:pt>
                  <c:pt idx="1">
                    <c:v>6</c:v>
                  </c:pt>
                  <c:pt idx="2">
                    <c:v>7</c:v>
                  </c:pt>
                  <c:pt idx="3">
                    <c:v>8</c:v>
                  </c:pt>
                  <c:pt idx="4">
                    <c:v>9</c:v>
                  </c:pt>
                </c:lvl>
              </c:multiLvlStrCache>
            </c:multiLvlStrRef>
          </c:cat>
          <c:val>
            <c:numRef>
              <c:f>'Level 1'!$C$5:$C$10</c:f>
              <c:numCache>
                <c:formatCode>0</c:formatCode>
                <c:ptCount val="5"/>
                <c:pt idx="0">
                  <c:v>49</c:v>
                </c:pt>
                <c:pt idx="1">
                  <c:v>72</c:v>
                </c:pt>
                <c:pt idx="2">
                  <c:v>45</c:v>
                </c:pt>
                <c:pt idx="3">
                  <c:v>77</c:v>
                </c:pt>
                <c:pt idx="4">
                  <c:v>2</c:v>
                </c:pt>
              </c:numCache>
            </c:numRef>
          </c:val>
          <c:smooth val="0"/>
          <c:extLst>
            <c:ext xmlns:c16="http://schemas.microsoft.com/office/drawing/2014/chart" uri="{C3380CC4-5D6E-409C-BE32-E72D297353CC}">
              <c16:uniqueId val="{00000000-9DEF-9648-BCB1-EDC180D3907F}"/>
            </c:ext>
          </c:extLst>
        </c:ser>
        <c:ser>
          <c:idx val="1"/>
          <c:order val="1"/>
          <c:tx>
            <c:strRef>
              <c:f>'Level 1'!$D$3:$D$4</c:f>
              <c:strCache>
                <c:ptCount val="1"/>
                <c:pt idx="0">
                  <c:v>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'Level 1'!$A$5:$B$10</c:f>
              <c:multiLvlStrCache>
                <c:ptCount val="5"/>
                <c:lvl>
                  <c:pt idx="0">
                    <c:v>105</c:v>
                  </c:pt>
                  <c:pt idx="1">
                    <c:v>105</c:v>
                  </c:pt>
                  <c:pt idx="2">
                    <c:v>105</c:v>
                  </c:pt>
                  <c:pt idx="3">
                    <c:v>105</c:v>
                  </c:pt>
                  <c:pt idx="4">
                    <c:v>105</c:v>
                  </c:pt>
                </c:lvl>
                <c:lvl>
                  <c:pt idx="0">
                    <c:v>5</c:v>
                  </c:pt>
                  <c:pt idx="1">
                    <c:v>6</c:v>
                  </c:pt>
                  <c:pt idx="2">
                    <c:v>7</c:v>
                  </c:pt>
                  <c:pt idx="3">
                    <c:v>8</c:v>
                  </c:pt>
                  <c:pt idx="4">
                    <c:v>9</c:v>
                  </c:pt>
                </c:lvl>
              </c:multiLvlStrCache>
            </c:multiLvlStrRef>
          </c:cat>
          <c:val>
            <c:numRef>
              <c:f>'Level 1'!$D$5:$D$10</c:f>
              <c:numCache>
                <c:formatCode>0</c:formatCode>
                <c:ptCount val="5"/>
                <c:pt idx="0">
                  <c:v>17</c:v>
                </c:pt>
                <c:pt idx="1">
                  <c:v>92</c:v>
                </c:pt>
                <c:pt idx="2">
                  <c:v>29</c:v>
                </c:pt>
                <c:pt idx="3">
                  <c:v>40</c:v>
                </c:pt>
                <c:pt idx="4">
                  <c:v>51</c:v>
                </c:pt>
              </c:numCache>
            </c:numRef>
          </c:val>
          <c:smooth val="0"/>
          <c:extLst>
            <c:ext xmlns:c16="http://schemas.microsoft.com/office/drawing/2014/chart" uri="{C3380CC4-5D6E-409C-BE32-E72D297353CC}">
              <c16:uniqueId val="{00000000-26FC-4049-8939-3EB91327618B}"/>
            </c:ext>
          </c:extLst>
        </c:ser>
        <c:ser>
          <c:idx val="2"/>
          <c:order val="2"/>
          <c:tx>
            <c:strRef>
              <c:f>'Level 1'!$E$3:$E$4</c:f>
              <c:strCache>
                <c:ptCount val="1"/>
                <c:pt idx="0">
                  <c:v>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'Level 1'!$A$5:$B$10</c:f>
              <c:multiLvlStrCache>
                <c:ptCount val="5"/>
                <c:lvl>
                  <c:pt idx="0">
                    <c:v>105</c:v>
                  </c:pt>
                  <c:pt idx="1">
                    <c:v>105</c:v>
                  </c:pt>
                  <c:pt idx="2">
                    <c:v>105</c:v>
                  </c:pt>
                  <c:pt idx="3">
                    <c:v>105</c:v>
                  </c:pt>
                  <c:pt idx="4">
                    <c:v>105</c:v>
                  </c:pt>
                </c:lvl>
                <c:lvl>
                  <c:pt idx="0">
                    <c:v>5</c:v>
                  </c:pt>
                  <c:pt idx="1">
                    <c:v>6</c:v>
                  </c:pt>
                  <c:pt idx="2">
                    <c:v>7</c:v>
                  </c:pt>
                  <c:pt idx="3">
                    <c:v>8</c:v>
                  </c:pt>
                  <c:pt idx="4">
                    <c:v>9</c:v>
                  </c:pt>
                </c:lvl>
              </c:multiLvlStrCache>
            </c:multiLvlStrRef>
          </c:cat>
          <c:val>
            <c:numRef>
              <c:f>'Level 1'!$E$5:$E$10</c:f>
              <c:numCache>
                <c:formatCode>0</c:formatCode>
                <c:ptCount val="5"/>
                <c:pt idx="0">
                  <c:v>30</c:v>
                </c:pt>
                <c:pt idx="1">
                  <c:v>77</c:v>
                </c:pt>
                <c:pt idx="2">
                  <c:v>9</c:v>
                </c:pt>
                <c:pt idx="3">
                  <c:v>12</c:v>
                </c:pt>
                <c:pt idx="4">
                  <c:v>7</c:v>
                </c:pt>
              </c:numCache>
            </c:numRef>
          </c:val>
          <c:smooth val="0"/>
          <c:extLst>
            <c:ext xmlns:c16="http://schemas.microsoft.com/office/drawing/2014/chart" uri="{C3380CC4-5D6E-409C-BE32-E72D297353CC}">
              <c16:uniqueId val="{00000001-26FC-4049-8939-3EB91327618B}"/>
            </c:ext>
          </c:extLst>
        </c:ser>
        <c:dLbls>
          <c:showLegendKey val="0"/>
          <c:showVal val="0"/>
          <c:showCatName val="0"/>
          <c:showSerName val="0"/>
          <c:showPercent val="0"/>
          <c:showBubbleSize val="0"/>
        </c:dLbls>
        <c:marker val="1"/>
        <c:smooth val="0"/>
        <c:axId val="630851152"/>
        <c:axId val="630217232"/>
      </c:lineChart>
      <c:catAx>
        <c:axId val="630851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baseline="0"/>
                  <a:t>Product Type and Week</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217232"/>
        <c:crosses val="autoZero"/>
        <c:auto val="1"/>
        <c:lblAlgn val="ctr"/>
        <c:lblOffset val="100"/>
        <c:noMultiLvlLbl val="0"/>
      </c:catAx>
      <c:valAx>
        <c:axId val="63021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Not Inspected Parts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85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[8136 CS2 DataSet B.xlsx]Level 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Daily Profit Loss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'Level 2'!$C$3:$C$4</c:f>
              <c:strCache>
                <c:ptCount val="1"/>
                <c:pt idx="0">
                  <c:v>1</c:v>
                </c:pt>
              </c:strCache>
            </c:strRef>
          </c:tx>
          <c:spPr>
            <a:solidFill>
              <a:schemeClr val="accent1"/>
            </a:solidFill>
            <a:ln>
              <a:noFill/>
            </a:ln>
            <a:effectLst/>
          </c:spPr>
          <c:invertIfNegative val="0"/>
          <c:cat>
            <c:multiLvlStrRef>
              <c:f>'Level 2'!$A$5:$B$26</c:f>
              <c:multiLvlStrCache>
                <c:ptCount val="21"/>
                <c:lvl>
                  <c:pt idx="0">
                    <c:v>105</c:v>
                  </c:pt>
                  <c:pt idx="1">
                    <c:v>105</c:v>
                  </c:pt>
                  <c:pt idx="2">
                    <c:v>105</c:v>
                  </c:pt>
                  <c:pt idx="3">
                    <c:v>105</c:v>
                  </c:pt>
                  <c:pt idx="4">
                    <c:v>105</c:v>
                  </c:pt>
                  <c:pt idx="5">
                    <c:v>105</c:v>
                  </c:pt>
                  <c:pt idx="6">
                    <c:v>105</c:v>
                  </c:pt>
                  <c:pt idx="7">
                    <c:v>105</c:v>
                  </c:pt>
                  <c:pt idx="8">
                    <c:v>105</c:v>
                  </c:pt>
                  <c:pt idx="9">
                    <c:v>105</c:v>
                  </c:pt>
                  <c:pt idx="10">
                    <c:v>105</c:v>
                  </c:pt>
                  <c:pt idx="11">
                    <c:v>105</c:v>
                  </c:pt>
                  <c:pt idx="12">
                    <c:v>105</c:v>
                  </c:pt>
                  <c:pt idx="13">
                    <c:v>105</c:v>
                  </c:pt>
                  <c:pt idx="14">
                    <c:v>105</c:v>
                  </c:pt>
                  <c:pt idx="15">
                    <c:v>105</c:v>
                  </c:pt>
                  <c:pt idx="16">
                    <c:v>105</c:v>
                  </c:pt>
                  <c:pt idx="17">
                    <c:v>105</c:v>
                  </c:pt>
                  <c:pt idx="18">
                    <c:v>105</c:v>
                  </c:pt>
                  <c:pt idx="19">
                    <c:v>105</c:v>
                  </c:pt>
                  <c:pt idx="20">
                    <c:v>105</c:v>
                  </c:pt>
                </c:lvl>
                <c:lvl>
                  <c:pt idx="0">
                    <c:v>01/02/2024</c:v>
                  </c:pt>
                  <c:pt idx="1">
                    <c:v>02/02/2024</c:v>
                  </c:pt>
                  <c:pt idx="2">
                    <c:v>03/02/2024</c:v>
                  </c:pt>
                  <c:pt idx="3">
                    <c:v>06/02/2024</c:v>
                  </c:pt>
                  <c:pt idx="4">
                    <c:v>07/02/2024</c:v>
                  </c:pt>
                  <c:pt idx="5">
                    <c:v>08/02/2024</c:v>
                  </c:pt>
                  <c:pt idx="6">
                    <c:v>09/02/2024</c:v>
                  </c:pt>
                  <c:pt idx="7">
                    <c:v>10/02/2024</c:v>
                  </c:pt>
                  <c:pt idx="8">
                    <c:v>13/02/2024</c:v>
                  </c:pt>
                  <c:pt idx="9">
                    <c:v>14/02/2024</c:v>
                  </c:pt>
                  <c:pt idx="10">
                    <c:v>15/02/2024</c:v>
                  </c:pt>
                  <c:pt idx="11">
                    <c:v>16/02/2024</c:v>
                  </c:pt>
                  <c:pt idx="12">
                    <c:v>17/02/2024</c:v>
                  </c:pt>
                  <c:pt idx="13">
                    <c:v>20/02/2024</c:v>
                  </c:pt>
                  <c:pt idx="14">
                    <c:v>21/02/2024</c:v>
                  </c:pt>
                  <c:pt idx="15">
                    <c:v>22/02/2024</c:v>
                  </c:pt>
                  <c:pt idx="16">
                    <c:v>23/02/2024</c:v>
                  </c:pt>
                  <c:pt idx="17">
                    <c:v>24/02/2024</c:v>
                  </c:pt>
                  <c:pt idx="18">
                    <c:v>27/02/2024</c:v>
                  </c:pt>
                  <c:pt idx="19">
                    <c:v>28/02/2024</c:v>
                  </c:pt>
                  <c:pt idx="20">
                    <c:v>29/02/2024</c:v>
                  </c:pt>
                </c:lvl>
              </c:multiLvlStrCache>
            </c:multiLvlStrRef>
          </c:cat>
          <c:val>
            <c:numRef>
              <c:f>'Level 2'!$C$5:$C$26</c:f>
              <c:numCache>
                <c:formatCode>0.00</c:formatCode>
                <c:ptCount val="21"/>
                <c:pt idx="0">
                  <c:v>0</c:v>
                </c:pt>
                <c:pt idx="1">
                  <c:v>9080</c:v>
                </c:pt>
                <c:pt idx="2">
                  <c:v>101926</c:v>
                </c:pt>
                <c:pt idx="3">
                  <c:v>0</c:v>
                </c:pt>
                <c:pt idx="4">
                  <c:v>30498</c:v>
                </c:pt>
                <c:pt idx="5">
                  <c:v>47566</c:v>
                </c:pt>
                <c:pt idx="6">
                  <c:v>11765</c:v>
                </c:pt>
                <c:pt idx="7">
                  <c:v>51024</c:v>
                </c:pt>
                <c:pt idx="8">
                  <c:v>5290</c:v>
                </c:pt>
                <c:pt idx="9">
                  <c:v>0</c:v>
                </c:pt>
                <c:pt idx="10">
                  <c:v>0</c:v>
                </c:pt>
                <c:pt idx="11">
                  <c:v>0</c:v>
                </c:pt>
                <c:pt idx="12">
                  <c:v>66263</c:v>
                </c:pt>
                <c:pt idx="13">
                  <c:v>59211</c:v>
                </c:pt>
                <c:pt idx="14">
                  <c:v>5936</c:v>
                </c:pt>
                <c:pt idx="15">
                  <c:v>4160</c:v>
                </c:pt>
                <c:pt idx="16">
                  <c:v>0</c:v>
                </c:pt>
                <c:pt idx="17">
                  <c:v>87900</c:v>
                </c:pt>
                <c:pt idx="18">
                  <c:v>5366</c:v>
                </c:pt>
                <c:pt idx="19">
                  <c:v>0</c:v>
                </c:pt>
                <c:pt idx="20">
                  <c:v>0</c:v>
                </c:pt>
              </c:numCache>
            </c:numRef>
          </c:val>
          <c:extLst>
            <c:ext xmlns:c16="http://schemas.microsoft.com/office/drawing/2014/chart" uri="{C3380CC4-5D6E-409C-BE32-E72D297353CC}">
              <c16:uniqueId val="{00000000-E49F-2146-A3AB-2AE1CE1D0A2E}"/>
            </c:ext>
          </c:extLst>
        </c:ser>
        <c:ser>
          <c:idx val="1"/>
          <c:order val="1"/>
          <c:tx>
            <c:strRef>
              <c:f>'Level 2'!$D$3:$D$4</c:f>
              <c:strCache>
                <c:ptCount val="1"/>
                <c:pt idx="0">
                  <c:v>2</c:v>
                </c:pt>
              </c:strCache>
            </c:strRef>
          </c:tx>
          <c:spPr>
            <a:solidFill>
              <a:schemeClr val="accent2"/>
            </a:solidFill>
            <a:ln>
              <a:noFill/>
            </a:ln>
            <a:effectLst/>
          </c:spPr>
          <c:invertIfNegative val="0"/>
          <c:cat>
            <c:multiLvlStrRef>
              <c:f>'Level 2'!$A$5:$B$26</c:f>
              <c:multiLvlStrCache>
                <c:ptCount val="21"/>
                <c:lvl>
                  <c:pt idx="0">
                    <c:v>105</c:v>
                  </c:pt>
                  <c:pt idx="1">
                    <c:v>105</c:v>
                  </c:pt>
                  <c:pt idx="2">
                    <c:v>105</c:v>
                  </c:pt>
                  <c:pt idx="3">
                    <c:v>105</c:v>
                  </c:pt>
                  <c:pt idx="4">
                    <c:v>105</c:v>
                  </c:pt>
                  <c:pt idx="5">
                    <c:v>105</c:v>
                  </c:pt>
                  <c:pt idx="6">
                    <c:v>105</c:v>
                  </c:pt>
                  <c:pt idx="7">
                    <c:v>105</c:v>
                  </c:pt>
                  <c:pt idx="8">
                    <c:v>105</c:v>
                  </c:pt>
                  <c:pt idx="9">
                    <c:v>105</c:v>
                  </c:pt>
                  <c:pt idx="10">
                    <c:v>105</c:v>
                  </c:pt>
                  <c:pt idx="11">
                    <c:v>105</c:v>
                  </c:pt>
                  <c:pt idx="12">
                    <c:v>105</c:v>
                  </c:pt>
                  <c:pt idx="13">
                    <c:v>105</c:v>
                  </c:pt>
                  <c:pt idx="14">
                    <c:v>105</c:v>
                  </c:pt>
                  <c:pt idx="15">
                    <c:v>105</c:v>
                  </c:pt>
                  <c:pt idx="16">
                    <c:v>105</c:v>
                  </c:pt>
                  <c:pt idx="17">
                    <c:v>105</c:v>
                  </c:pt>
                  <c:pt idx="18">
                    <c:v>105</c:v>
                  </c:pt>
                  <c:pt idx="19">
                    <c:v>105</c:v>
                  </c:pt>
                  <c:pt idx="20">
                    <c:v>105</c:v>
                  </c:pt>
                </c:lvl>
                <c:lvl>
                  <c:pt idx="0">
                    <c:v>01/02/2024</c:v>
                  </c:pt>
                  <c:pt idx="1">
                    <c:v>02/02/2024</c:v>
                  </c:pt>
                  <c:pt idx="2">
                    <c:v>03/02/2024</c:v>
                  </c:pt>
                  <c:pt idx="3">
                    <c:v>06/02/2024</c:v>
                  </c:pt>
                  <c:pt idx="4">
                    <c:v>07/02/2024</c:v>
                  </c:pt>
                  <c:pt idx="5">
                    <c:v>08/02/2024</c:v>
                  </c:pt>
                  <c:pt idx="6">
                    <c:v>09/02/2024</c:v>
                  </c:pt>
                  <c:pt idx="7">
                    <c:v>10/02/2024</c:v>
                  </c:pt>
                  <c:pt idx="8">
                    <c:v>13/02/2024</c:v>
                  </c:pt>
                  <c:pt idx="9">
                    <c:v>14/02/2024</c:v>
                  </c:pt>
                  <c:pt idx="10">
                    <c:v>15/02/2024</c:v>
                  </c:pt>
                  <c:pt idx="11">
                    <c:v>16/02/2024</c:v>
                  </c:pt>
                  <c:pt idx="12">
                    <c:v>17/02/2024</c:v>
                  </c:pt>
                  <c:pt idx="13">
                    <c:v>20/02/2024</c:v>
                  </c:pt>
                  <c:pt idx="14">
                    <c:v>21/02/2024</c:v>
                  </c:pt>
                  <c:pt idx="15">
                    <c:v>22/02/2024</c:v>
                  </c:pt>
                  <c:pt idx="16">
                    <c:v>23/02/2024</c:v>
                  </c:pt>
                  <c:pt idx="17">
                    <c:v>24/02/2024</c:v>
                  </c:pt>
                  <c:pt idx="18">
                    <c:v>27/02/2024</c:v>
                  </c:pt>
                  <c:pt idx="19">
                    <c:v>28/02/2024</c:v>
                  </c:pt>
                  <c:pt idx="20">
                    <c:v>29/02/2024</c:v>
                  </c:pt>
                </c:lvl>
              </c:multiLvlStrCache>
            </c:multiLvlStrRef>
          </c:cat>
          <c:val>
            <c:numRef>
              <c:f>'Level 2'!$D$5:$D$26</c:f>
              <c:numCache>
                <c:formatCode>0.00</c:formatCode>
                <c:ptCount val="21"/>
                <c:pt idx="0">
                  <c:v>0</c:v>
                </c:pt>
                <c:pt idx="1">
                  <c:v>17578</c:v>
                </c:pt>
                <c:pt idx="2">
                  <c:v>0</c:v>
                </c:pt>
                <c:pt idx="3">
                  <c:v>0</c:v>
                </c:pt>
                <c:pt idx="4">
                  <c:v>63990</c:v>
                </c:pt>
                <c:pt idx="5">
                  <c:v>19171</c:v>
                </c:pt>
                <c:pt idx="6">
                  <c:v>30380</c:v>
                </c:pt>
                <c:pt idx="7">
                  <c:v>0</c:v>
                </c:pt>
                <c:pt idx="8">
                  <c:v>0</c:v>
                </c:pt>
                <c:pt idx="9">
                  <c:v>53534</c:v>
                </c:pt>
                <c:pt idx="10">
                  <c:v>0</c:v>
                </c:pt>
                <c:pt idx="11">
                  <c:v>0</c:v>
                </c:pt>
                <c:pt idx="12">
                  <c:v>0</c:v>
                </c:pt>
                <c:pt idx="13">
                  <c:v>30569</c:v>
                </c:pt>
                <c:pt idx="14">
                  <c:v>17485</c:v>
                </c:pt>
                <c:pt idx="15">
                  <c:v>12128</c:v>
                </c:pt>
                <c:pt idx="16">
                  <c:v>0</c:v>
                </c:pt>
                <c:pt idx="17">
                  <c:v>18016</c:v>
                </c:pt>
                <c:pt idx="18">
                  <c:v>0</c:v>
                </c:pt>
                <c:pt idx="19">
                  <c:v>0</c:v>
                </c:pt>
                <c:pt idx="20">
                  <c:v>132039</c:v>
                </c:pt>
              </c:numCache>
            </c:numRef>
          </c:val>
          <c:extLst>
            <c:ext xmlns:c16="http://schemas.microsoft.com/office/drawing/2014/chart" uri="{C3380CC4-5D6E-409C-BE32-E72D297353CC}">
              <c16:uniqueId val="{00000001-E49F-2146-A3AB-2AE1CE1D0A2E}"/>
            </c:ext>
          </c:extLst>
        </c:ser>
        <c:ser>
          <c:idx val="2"/>
          <c:order val="2"/>
          <c:tx>
            <c:strRef>
              <c:f>'Level 2'!$E$3:$E$4</c:f>
              <c:strCache>
                <c:ptCount val="1"/>
                <c:pt idx="0">
                  <c:v>3</c:v>
                </c:pt>
              </c:strCache>
            </c:strRef>
          </c:tx>
          <c:spPr>
            <a:solidFill>
              <a:schemeClr val="accent3"/>
            </a:solidFill>
            <a:ln>
              <a:noFill/>
            </a:ln>
            <a:effectLst/>
          </c:spPr>
          <c:invertIfNegative val="0"/>
          <c:cat>
            <c:multiLvlStrRef>
              <c:f>'Level 2'!$A$5:$B$26</c:f>
              <c:multiLvlStrCache>
                <c:ptCount val="21"/>
                <c:lvl>
                  <c:pt idx="0">
                    <c:v>105</c:v>
                  </c:pt>
                  <c:pt idx="1">
                    <c:v>105</c:v>
                  </c:pt>
                  <c:pt idx="2">
                    <c:v>105</c:v>
                  </c:pt>
                  <c:pt idx="3">
                    <c:v>105</c:v>
                  </c:pt>
                  <c:pt idx="4">
                    <c:v>105</c:v>
                  </c:pt>
                  <c:pt idx="5">
                    <c:v>105</c:v>
                  </c:pt>
                  <c:pt idx="6">
                    <c:v>105</c:v>
                  </c:pt>
                  <c:pt idx="7">
                    <c:v>105</c:v>
                  </c:pt>
                  <c:pt idx="8">
                    <c:v>105</c:v>
                  </c:pt>
                  <c:pt idx="9">
                    <c:v>105</c:v>
                  </c:pt>
                  <c:pt idx="10">
                    <c:v>105</c:v>
                  </c:pt>
                  <c:pt idx="11">
                    <c:v>105</c:v>
                  </c:pt>
                  <c:pt idx="12">
                    <c:v>105</c:v>
                  </c:pt>
                  <c:pt idx="13">
                    <c:v>105</c:v>
                  </c:pt>
                  <c:pt idx="14">
                    <c:v>105</c:v>
                  </c:pt>
                  <c:pt idx="15">
                    <c:v>105</c:v>
                  </c:pt>
                  <c:pt idx="16">
                    <c:v>105</c:v>
                  </c:pt>
                  <c:pt idx="17">
                    <c:v>105</c:v>
                  </c:pt>
                  <c:pt idx="18">
                    <c:v>105</c:v>
                  </c:pt>
                  <c:pt idx="19">
                    <c:v>105</c:v>
                  </c:pt>
                  <c:pt idx="20">
                    <c:v>105</c:v>
                  </c:pt>
                </c:lvl>
                <c:lvl>
                  <c:pt idx="0">
                    <c:v>01/02/2024</c:v>
                  </c:pt>
                  <c:pt idx="1">
                    <c:v>02/02/2024</c:v>
                  </c:pt>
                  <c:pt idx="2">
                    <c:v>03/02/2024</c:v>
                  </c:pt>
                  <c:pt idx="3">
                    <c:v>06/02/2024</c:v>
                  </c:pt>
                  <c:pt idx="4">
                    <c:v>07/02/2024</c:v>
                  </c:pt>
                  <c:pt idx="5">
                    <c:v>08/02/2024</c:v>
                  </c:pt>
                  <c:pt idx="6">
                    <c:v>09/02/2024</c:v>
                  </c:pt>
                  <c:pt idx="7">
                    <c:v>10/02/2024</c:v>
                  </c:pt>
                  <c:pt idx="8">
                    <c:v>13/02/2024</c:v>
                  </c:pt>
                  <c:pt idx="9">
                    <c:v>14/02/2024</c:v>
                  </c:pt>
                  <c:pt idx="10">
                    <c:v>15/02/2024</c:v>
                  </c:pt>
                  <c:pt idx="11">
                    <c:v>16/02/2024</c:v>
                  </c:pt>
                  <c:pt idx="12">
                    <c:v>17/02/2024</c:v>
                  </c:pt>
                  <c:pt idx="13">
                    <c:v>20/02/2024</c:v>
                  </c:pt>
                  <c:pt idx="14">
                    <c:v>21/02/2024</c:v>
                  </c:pt>
                  <c:pt idx="15">
                    <c:v>22/02/2024</c:v>
                  </c:pt>
                  <c:pt idx="16">
                    <c:v>23/02/2024</c:v>
                  </c:pt>
                  <c:pt idx="17">
                    <c:v>24/02/2024</c:v>
                  </c:pt>
                  <c:pt idx="18">
                    <c:v>27/02/2024</c:v>
                  </c:pt>
                  <c:pt idx="19">
                    <c:v>28/02/2024</c:v>
                  </c:pt>
                  <c:pt idx="20">
                    <c:v>29/02/2024</c:v>
                  </c:pt>
                </c:lvl>
              </c:multiLvlStrCache>
            </c:multiLvlStrRef>
          </c:cat>
          <c:val>
            <c:numRef>
              <c:f>'Level 2'!$E$5:$E$26</c:f>
              <c:numCache>
                <c:formatCode>0.00</c:formatCode>
                <c:ptCount val="21"/>
                <c:pt idx="0">
                  <c:v>0</c:v>
                </c:pt>
                <c:pt idx="1">
                  <c:v>51210</c:v>
                </c:pt>
                <c:pt idx="2">
                  <c:v>122220</c:v>
                </c:pt>
                <c:pt idx="3">
                  <c:v>0</c:v>
                </c:pt>
                <c:pt idx="4">
                  <c:v>297648</c:v>
                </c:pt>
                <c:pt idx="5">
                  <c:v>89248</c:v>
                </c:pt>
                <c:pt idx="6">
                  <c:v>54168</c:v>
                </c:pt>
                <c:pt idx="7">
                  <c:v>0</c:v>
                </c:pt>
                <c:pt idx="8">
                  <c:v>0</c:v>
                </c:pt>
                <c:pt idx="9">
                  <c:v>20460</c:v>
                </c:pt>
                <c:pt idx="10">
                  <c:v>0</c:v>
                </c:pt>
                <c:pt idx="11">
                  <c:v>0</c:v>
                </c:pt>
                <c:pt idx="12">
                  <c:v>36300</c:v>
                </c:pt>
                <c:pt idx="13">
                  <c:v>110496</c:v>
                </c:pt>
                <c:pt idx="14">
                  <c:v>0</c:v>
                </c:pt>
                <c:pt idx="15">
                  <c:v>0</c:v>
                </c:pt>
                <c:pt idx="16">
                  <c:v>0</c:v>
                </c:pt>
                <c:pt idx="17">
                  <c:v>0</c:v>
                </c:pt>
                <c:pt idx="18">
                  <c:v>0</c:v>
                </c:pt>
                <c:pt idx="19">
                  <c:v>0</c:v>
                </c:pt>
                <c:pt idx="20">
                  <c:v>66766</c:v>
                </c:pt>
              </c:numCache>
            </c:numRef>
          </c:val>
          <c:extLst>
            <c:ext xmlns:c16="http://schemas.microsoft.com/office/drawing/2014/chart" uri="{C3380CC4-5D6E-409C-BE32-E72D297353CC}">
              <c16:uniqueId val="{00000002-E49F-2146-A3AB-2AE1CE1D0A2E}"/>
            </c:ext>
          </c:extLst>
        </c:ser>
        <c:dLbls>
          <c:showLegendKey val="0"/>
          <c:showVal val="0"/>
          <c:showCatName val="0"/>
          <c:showSerName val="0"/>
          <c:showPercent val="0"/>
          <c:showBubbleSize val="0"/>
        </c:dLbls>
        <c:gapWidth val="55"/>
        <c:axId val="1650123440"/>
        <c:axId val="1650327072"/>
      </c:barChart>
      <c:catAx>
        <c:axId val="1650123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baseline="0"/>
                  <a:t>Product Type and Dates</a:t>
                </a:r>
                <a:endParaRPr lang="en-US" b="1"/>
              </a:p>
            </c:rich>
          </c:tx>
          <c:layout>
            <c:manualLayout>
              <c:xMode val="edge"/>
              <c:yMode val="edge"/>
              <c:x val="0.45735521708924515"/>
              <c:y val="0.947424391007834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327072"/>
        <c:crosses val="autoZero"/>
        <c:auto val="1"/>
        <c:lblAlgn val="ctr"/>
        <c:lblOffset val="100"/>
        <c:noMultiLvlLbl val="0"/>
      </c:catAx>
      <c:valAx>
        <c:axId val="1650327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Uninspected</a:t>
                </a:r>
                <a:r>
                  <a:rPr lang="en-US" b="1" baseline="0"/>
                  <a:t> Profit $</a:t>
                </a:r>
                <a:endParaRPr lang="en-US" b="1"/>
              </a:p>
            </c:rich>
          </c:tx>
          <c:layout>
            <c:manualLayout>
              <c:xMode val="edge"/>
              <c:yMode val="edge"/>
              <c:x val="6.6161807668592603E-3"/>
              <c:y val="0.3661145684573192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12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[8136 CS2 DataSet B.xlsx]Level 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Daily Count for Not Inspected</a:t>
            </a:r>
            <a:r>
              <a:rPr lang="en-US" b="1" baseline="0"/>
              <a:t> Parts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'Level 3'!$C$3:$C$4</c:f>
              <c:strCache>
                <c:ptCount val="1"/>
                <c:pt idx="0">
                  <c:v>1</c:v>
                </c:pt>
              </c:strCache>
            </c:strRef>
          </c:tx>
          <c:spPr>
            <a:solidFill>
              <a:schemeClr val="accent1"/>
            </a:solidFill>
            <a:ln>
              <a:noFill/>
            </a:ln>
            <a:effectLst/>
          </c:spPr>
          <c:invertIfNegative val="0"/>
          <c:cat>
            <c:multiLvlStrRef>
              <c:f>'Level 3'!$A$5:$B$26</c:f>
              <c:multiLvlStrCache>
                <c:ptCount val="21"/>
                <c:lvl>
                  <c:pt idx="0">
                    <c:v>105</c:v>
                  </c:pt>
                  <c:pt idx="1">
                    <c:v>105</c:v>
                  </c:pt>
                  <c:pt idx="2">
                    <c:v>105</c:v>
                  </c:pt>
                  <c:pt idx="3">
                    <c:v>105</c:v>
                  </c:pt>
                  <c:pt idx="4">
                    <c:v>105</c:v>
                  </c:pt>
                  <c:pt idx="5">
                    <c:v>105</c:v>
                  </c:pt>
                  <c:pt idx="6">
                    <c:v>105</c:v>
                  </c:pt>
                  <c:pt idx="7">
                    <c:v>105</c:v>
                  </c:pt>
                  <c:pt idx="8">
                    <c:v>105</c:v>
                  </c:pt>
                  <c:pt idx="9">
                    <c:v>105</c:v>
                  </c:pt>
                  <c:pt idx="10">
                    <c:v>105</c:v>
                  </c:pt>
                  <c:pt idx="11">
                    <c:v>105</c:v>
                  </c:pt>
                  <c:pt idx="12">
                    <c:v>105</c:v>
                  </c:pt>
                  <c:pt idx="13">
                    <c:v>105</c:v>
                  </c:pt>
                  <c:pt idx="14">
                    <c:v>105</c:v>
                  </c:pt>
                  <c:pt idx="15">
                    <c:v>105</c:v>
                  </c:pt>
                  <c:pt idx="16">
                    <c:v>105</c:v>
                  </c:pt>
                  <c:pt idx="17">
                    <c:v>105</c:v>
                  </c:pt>
                  <c:pt idx="18">
                    <c:v>105</c:v>
                  </c:pt>
                  <c:pt idx="19">
                    <c:v>105</c:v>
                  </c:pt>
                  <c:pt idx="20">
                    <c:v>105</c:v>
                  </c:pt>
                </c:lvl>
                <c:lvl>
                  <c:pt idx="0">
                    <c:v>01/02/2024</c:v>
                  </c:pt>
                  <c:pt idx="1">
                    <c:v>02/02/2024</c:v>
                  </c:pt>
                  <c:pt idx="2">
                    <c:v>03/02/2024</c:v>
                  </c:pt>
                  <c:pt idx="3">
                    <c:v>06/02/2024</c:v>
                  </c:pt>
                  <c:pt idx="4">
                    <c:v>07/02/2024</c:v>
                  </c:pt>
                  <c:pt idx="5">
                    <c:v>08/02/2024</c:v>
                  </c:pt>
                  <c:pt idx="6">
                    <c:v>09/02/2024</c:v>
                  </c:pt>
                  <c:pt idx="7">
                    <c:v>10/02/2024</c:v>
                  </c:pt>
                  <c:pt idx="8">
                    <c:v>13/02/2024</c:v>
                  </c:pt>
                  <c:pt idx="9">
                    <c:v>14/02/2024</c:v>
                  </c:pt>
                  <c:pt idx="10">
                    <c:v>15/02/2024</c:v>
                  </c:pt>
                  <c:pt idx="11">
                    <c:v>16/02/2024</c:v>
                  </c:pt>
                  <c:pt idx="12">
                    <c:v>17/02/2024</c:v>
                  </c:pt>
                  <c:pt idx="13">
                    <c:v>20/02/2024</c:v>
                  </c:pt>
                  <c:pt idx="14">
                    <c:v>21/02/2024</c:v>
                  </c:pt>
                  <c:pt idx="15">
                    <c:v>22/02/2024</c:v>
                  </c:pt>
                  <c:pt idx="16">
                    <c:v>23/02/2024</c:v>
                  </c:pt>
                  <c:pt idx="17">
                    <c:v>24/02/2024</c:v>
                  </c:pt>
                  <c:pt idx="18">
                    <c:v>27/02/2024</c:v>
                  </c:pt>
                  <c:pt idx="19">
                    <c:v>28/02/2024</c:v>
                  </c:pt>
                  <c:pt idx="20">
                    <c:v>29/02/2024</c:v>
                  </c:pt>
                </c:lvl>
              </c:multiLvlStrCache>
            </c:multiLvlStrRef>
          </c:cat>
          <c:val>
            <c:numRef>
              <c:f>'Level 3'!$C$5:$C$26</c:f>
              <c:numCache>
                <c:formatCode>General</c:formatCode>
                <c:ptCount val="21"/>
                <c:pt idx="0">
                  <c:v>0</c:v>
                </c:pt>
                <c:pt idx="1">
                  <c:v>8</c:v>
                </c:pt>
                <c:pt idx="2">
                  <c:v>41</c:v>
                </c:pt>
                <c:pt idx="3">
                  <c:v>0</c:v>
                </c:pt>
                <c:pt idx="4">
                  <c:v>26</c:v>
                </c:pt>
                <c:pt idx="5">
                  <c:v>17</c:v>
                </c:pt>
                <c:pt idx="6">
                  <c:v>5</c:v>
                </c:pt>
                <c:pt idx="7">
                  <c:v>24</c:v>
                </c:pt>
                <c:pt idx="8">
                  <c:v>2</c:v>
                </c:pt>
                <c:pt idx="9">
                  <c:v>0</c:v>
                </c:pt>
                <c:pt idx="10">
                  <c:v>0</c:v>
                </c:pt>
                <c:pt idx="11">
                  <c:v>0</c:v>
                </c:pt>
                <c:pt idx="12">
                  <c:v>43</c:v>
                </c:pt>
                <c:pt idx="13">
                  <c:v>43</c:v>
                </c:pt>
                <c:pt idx="14">
                  <c:v>2</c:v>
                </c:pt>
                <c:pt idx="15">
                  <c:v>2</c:v>
                </c:pt>
                <c:pt idx="16">
                  <c:v>0</c:v>
                </c:pt>
                <c:pt idx="17">
                  <c:v>30</c:v>
                </c:pt>
                <c:pt idx="18">
                  <c:v>2</c:v>
                </c:pt>
                <c:pt idx="19">
                  <c:v>0</c:v>
                </c:pt>
                <c:pt idx="20">
                  <c:v>0</c:v>
                </c:pt>
              </c:numCache>
            </c:numRef>
          </c:val>
          <c:extLst>
            <c:ext xmlns:c16="http://schemas.microsoft.com/office/drawing/2014/chart" uri="{C3380CC4-5D6E-409C-BE32-E72D297353CC}">
              <c16:uniqueId val="{00000000-F900-D44B-A954-A497266368B1}"/>
            </c:ext>
          </c:extLst>
        </c:ser>
        <c:ser>
          <c:idx val="1"/>
          <c:order val="1"/>
          <c:tx>
            <c:strRef>
              <c:f>'Level 3'!$D$3:$D$4</c:f>
              <c:strCache>
                <c:ptCount val="1"/>
                <c:pt idx="0">
                  <c:v>2</c:v>
                </c:pt>
              </c:strCache>
            </c:strRef>
          </c:tx>
          <c:spPr>
            <a:solidFill>
              <a:schemeClr val="accent2"/>
            </a:solidFill>
            <a:ln>
              <a:noFill/>
            </a:ln>
            <a:effectLst/>
          </c:spPr>
          <c:invertIfNegative val="0"/>
          <c:cat>
            <c:multiLvlStrRef>
              <c:f>'Level 3'!$A$5:$B$26</c:f>
              <c:multiLvlStrCache>
                <c:ptCount val="21"/>
                <c:lvl>
                  <c:pt idx="0">
                    <c:v>105</c:v>
                  </c:pt>
                  <c:pt idx="1">
                    <c:v>105</c:v>
                  </c:pt>
                  <c:pt idx="2">
                    <c:v>105</c:v>
                  </c:pt>
                  <c:pt idx="3">
                    <c:v>105</c:v>
                  </c:pt>
                  <c:pt idx="4">
                    <c:v>105</c:v>
                  </c:pt>
                  <c:pt idx="5">
                    <c:v>105</c:v>
                  </c:pt>
                  <c:pt idx="6">
                    <c:v>105</c:v>
                  </c:pt>
                  <c:pt idx="7">
                    <c:v>105</c:v>
                  </c:pt>
                  <c:pt idx="8">
                    <c:v>105</c:v>
                  </c:pt>
                  <c:pt idx="9">
                    <c:v>105</c:v>
                  </c:pt>
                  <c:pt idx="10">
                    <c:v>105</c:v>
                  </c:pt>
                  <c:pt idx="11">
                    <c:v>105</c:v>
                  </c:pt>
                  <c:pt idx="12">
                    <c:v>105</c:v>
                  </c:pt>
                  <c:pt idx="13">
                    <c:v>105</c:v>
                  </c:pt>
                  <c:pt idx="14">
                    <c:v>105</c:v>
                  </c:pt>
                  <c:pt idx="15">
                    <c:v>105</c:v>
                  </c:pt>
                  <c:pt idx="16">
                    <c:v>105</c:v>
                  </c:pt>
                  <c:pt idx="17">
                    <c:v>105</c:v>
                  </c:pt>
                  <c:pt idx="18">
                    <c:v>105</c:v>
                  </c:pt>
                  <c:pt idx="19">
                    <c:v>105</c:v>
                  </c:pt>
                  <c:pt idx="20">
                    <c:v>105</c:v>
                  </c:pt>
                </c:lvl>
                <c:lvl>
                  <c:pt idx="0">
                    <c:v>01/02/2024</c:v>
                  </c:pt>
                  <c:pt idx="1">
                    <c:v>02/02/2024</c:v>
                  </c:pt>
                  <c:pt idx="2">
                    <c:v>03/02/2024</c:v>
                  </c:pt>
                  <c:pt idx="3">
                    <c:v>06/02/2024</c:v>
                  </c:pt>
                  <c:pt idx="4">
                    <c:v>07/02/2024</c:v>
                  </c:pt>
                  <c:pt idx="5">
                    <c:v>08/02/2024</c:v>
                  </c:pt>
                  <c:pt idx="6">
                    <c:v>09/02/2024</c:v>
                  </c:pt>
                  <c:pt idx="7">
                    <c:v>10/02/2024</c:v>
                  </c:pt>
                  <c:pt idx="8">
                    <c:v>13/02/2024</c:v>
                  </c:pt>
                  <c:pt idx="9">
                    <c:v>14/02/2024</c:v>
                  </c:pt>
                  <c:pt idx="10">
                    <c:v>15/02/2024</c:v>
                  </c:pt>
                  <c:pt idx="11">
                    <c:v>16/02/2024</c:v>
                  </c:pt>
                  <c:pt idx="12">
                    <c:v>17/02/2024</c:v>
                  </c:pt>
                  <c:pt idx="13">
                    <c:v>20/02/2024</c:v>
                  </c:pt>
                  <c:pt idx="14">
                    <c:v>21/02/2024</c:v>
                  </c:pt>
                  <c:pt idx="15">
                    <c:v>22/02/2024</c:v>
                  </c:pt>
                  <c:pt idx="16">
                    <c:v>23/02/2024</c:v>
                  </c:pt>
                  <c:pt idx="17">
                    <c:v>24/02/2024</c:v>
                  </c:pt>
                  <c:pt idx="18">
                    <c:v>27/02/2024</c:v>
                  </c:pt>
                  <c:pt idx="19">
                    <c:v>28/02/2024</c:v>
                  </c:pt>
                  <c:pt idx="20">
                    <c:v>29/02/2024</c:v>
                  </c:pt>
                </c:lvl>
              </c:multiLvlStrCache>
            </c:multiLvlStrRef>
          </c:cat>
          <c:val>
            <c:numRef>
              <c:f>'Level 3'!$D$5:$D$26</c:f>
              <c:numCache>
                <c:formatCode>General</c:formatCode>
                <c:ptCount val="21"/>
                <c:pt idx="0">
                  <c:v>0</c:v>
                </c:pt>
                <c:pt idx="1">
                  <c:v>17</c:v>
                </c:pt>
                <c:pt idx="2">
                  <c:v>0</c:v>
                </c:pt>
                <c:pt idx="3">
                  <c:v>0</c:v>
                </c:pt>
                <c:pt idx="4">
                  <c:v>45</c:v>
                </c:pt>
                <c:pt idx="5">
                  <c:v>19</c:v>
                </c:pt>
                <c:pt idx="6">
                  <c:v>28</c:v>
                </c:pt>
                <c:pt idx="7">
                  <c:v>0</c:v>
                </c:pt>
                <c:pt idx="8">
                  <c:v>0</c:v>
                </c:pt>
                <c:pt idx="9">
                  <c:v>29</c:v>
                </c:pt>
                <c:pt idx="10">
                  <c:v>0</c:v>
                </c:pt>
                <c:pt idx="11">
                  <c:v>0</c:v>
                </c:pt>
                <c:pt idx="12">
                  <c:v>0</c:v>
                </c:pt>
                <c:pt idx="13">
                  <c:v>11</c:v>
                </c:pt>
                <c:pt idx="14">
                  <c:v>13</c:v>
                </c:pt>
                <c:pt idx="15">
                  <c:v>8</c:v>
                </c:pt>
                <c:pt idx="16">
                  <c:v>0</c:v>
                </c:pt>
                <c:pt idx="17">
                  <c:v>8</c:v>
                </c:pt>
                <c:pt idx="18">
                  <c:v>0</c:v>
                </c:pt>
                <c:pt idx="19">
                  <c:v>0</c:v>
                </c:pt>
                <c:pt idx="20">
                  <c:v>51</c:v>
                </c:pt>
              </c:numCache>
            </c:numRef>
          </c:val>
          <c:extLst>
            <c:ext xmlns:c16="http://schemas.microsoft.com/office/drawing/2014/chart" uri="{C3380CC4-5D6E-409C-BE32-E72D297353CC}">
              <c16:uniqueId val="{00000001-F900-D44B-A954-A497266368B1}"/>
            </c:ext>
          </c:extLst>
        </c:ser>
        <c:ser>
          <c:idx val="2"/>
          <c:order val="2"/>
          <c:tx>
            <c:strRef>
              <c:f>'Level 3'!$E$3:$E$4</c:f>
              <c:strCache>
                <c:ptCount val="1"/>
                <c:pt idx="0">
                  <c:v>3</c:v>
                </c:pt>
              </c:strCache>
            </c:strRef>
          </c:tx>
          <c:spPr>
            <a:solidFill>
              <a:schemeClr val="accent3"/>
            </a:solidFill>
            <a:ln>
              <a:noFill/>
            </a:ln>
            <a:effectLst/>
          </c:spPr>
          <c:invertIfNegative val="0"/>
          <c:cat>
            <c:multiLvlStrRef>
              <c:f>'Level 3'!$A$5:$B$26</c:f>
              <c:multiLvlStrCache>
                <c:ptCount val="21"/>
                <c:lvl>
                  <c:pt idx="0">
                    <c:v>105</c:v>
                  </c:pt>
                  <c:pt idx="1">
                    <c:v>105</c:v>
                  </c:pt>
                  <c:pt idx="2">
                    <c:v>105</c:v>
                  </c:pt>
                  <c:pt idx="3">
                    <c:v>105</c:v>
                  </c:pt>
                  <c:pt idx="4">
                    <c:v>105</c:v>
                  </c:pt>
                  <c:pt idx="5">
                    <c:v>105</c:v>
                  </c:pt>
                  <c:pt idx="6">
                    <c:v>105</c:v>
                  </c:pt>
                  <c:pt idx="7">
                    <c:v>105</c:v>
                  </c:pt>
                  <c:pt idx="8">
                    <c:v>105</c:v>
                  </c:pt>
                  <c:pt idx="9">
                    <c:v>105</c:v>
                  </c:pt>
                  <c:pt idx="10">
                    <c:v>105</c:v>
                  </c:pt>
                  <c:pt idx="11">
                    <c:v>105</c:v>
                  </c:pt>
                  <c:pt idx="12">
                    <c:v>105</c:v>
                  </c:pt>
                  <c:pt idx="13">
                    <c:v>105</c:v>
                  </c:pt>
                  <c:pt idx="14">
                    <c:v>105</c:v>
                  </c:pt>
                  <c:pt idx="15">
                    <c:v>105</c:v>
                  </c:pt>
                  <c:pt idx="16">
                    <c:v>105</c:v>
                  </c:pt>
                  <c:pt idx="17">
                    <c:v>105</c:v>
                  </c:pt>
                  <c:pt idx="18">
                    <c:v>105</c:v>
                  </c:pt>
                  <c:pt idx="19">
                    <c:v>105</c:v>
                  </c:pt>
                  <c:pt idx="20">
                    <c:v>105</c:v>
                  </c:pt>
                </c:lvl>
                <c:lvl>
                  <c:pt idx="0">
                    <c:v>01/02/2024</c:v>
                  </c:pt>
                  <c:pt idx="1">
                    <c:v>02/02/2024</c:v>
                  </c:pt>
                  <c:pt idx="2">
                    <c:v>03/02/2024</c:v>
                  </c:pt>
                  <c:pt idx="3">
                    <c:v>06/02/2024</c:v>
                  </c:pt>
                  <c:pt idx="4">
                    <c:v>07/02/2024</c:v>
                  </c:pt>
                  <c:pt idx="5">
                    <c:v>08/02/2024</c:v>
                  </c:pt>
                  <c:pt idx="6">
                    <c:v>09/02/2024</c:v>
                  </c:pt>
                  <c:pt idx="7">
                    <c:v>10/02/2024</c:v>
                  </c:pt>
                  <c:pt idx="8">
                    <c:v>13/02/2024</c:v>
                  </c:pt>
                  <c:pt idx="9">
                    <c:v>14/02/2024</c:v>
                  </c:pt>
                  <c:pt idx="10">
                    <c:v>15/02/2024</c:v>
                  </c:pt>
                  <c:pt idx="11">
                    <c:v>16/02/2024</c:v>
                  </c:pt>
                  <c:pt idx="12">
                    <c:v>17/02/2024</c:v>
                  </c:pt>
                  <c:pt idx="13">
                    <c:v>20/02/2024</c:v>
                  </c:pt>
                  <c:pt idx="14">
                    <c:v>21/02/2024</c:v>
                  </c:pt>
                  <c:pt idx="15">
                    <c:v>22/02/2024</c:v>
                  </c:pt>
                  <c:pt idx="16">
                    <c:v>23/02/2024</c:v>
                  </c:pt>
                  <c:pt idx="17">
                    <c:v>24/02/2024</c:v>
                  </c:pt>
                  <c:pt idx="18">
                    <c:v>27/02/2024</c:v>
                  </c:pt>
                  <c:pt idx="19">
                    <c:v>28/02/2024</c:v>
                  </c:pt>
                  <c:pt idx="20">
                    <c:v>29/02/2024</c:v>
                  </c:pt>
                </c:lvl>
              </c:multiLvlStrCache>
            </c:multiLvlStrRef>
          </c:cat>
          <c:val>
            <c:numRef>
              <c:f>'Level 3'!$E$5:$E$26</c:f>
              <c:numCache>
                <c:formatCode>General</c:formatCode>
                <c:ptCount val="21"/>
                <c:pt idx="0">
                  <c:v>0</c:v>
                </c:pt>
                <c:pt idx="1">
                  <c:v>10</c:v>
                </c:pt>
                <c:pt idx="2">
                  <c:v>20</c:v>
                </c:pt>
                <c:pt idx="3">
                  <c:v>0</c:v>
                </c:pt>
                <c:pt idx="4">
                  <c:v>53</c:v>
                </c:pt>
                <c:pt idx="5">
                  <c:v>16</c:v>
                </c:pt>
                <c:pt idx="6">
                  <c:v>8</c:v>
                </c:pt>
                <c:pt idx="7">
                  <c:v>0</c:v>
                </c:pt>
                <c:pt idx="8">
                  <c:v>0</c:v>
                </c:pt>
                <c:pt idx="9">
                  <c:v>4</c:v>
                </c:pt>
                <c:pt idx="10">
                  <c:v>0</c:v>
                </c:pt>
                <c:pt idx="11">
                  <c:v>0</c:v>
                </c:pt>
                <c:pt idx="12">
                  <c:v>5</c:v>
                </c:pt>
                <c:pt idx="13">
                  <c:v>12</c:v>
                </c:pt>
                <c:pt idx="14">
                  <c:v>0</c:v>
                </c:pt>
                <c:pt idx="15">
                  <c:v>0</c:v>
                </c:pt>
                <c:pt idx="16">
                  <c:v>0</c:v>
                </c:pt>
                <c:pt idx="17">
                  <c:v>0</c:v>
                </c:pt>
                <c:pt idx="18">
                  <c:v>0</c:v>
                </c:pt>
                <c:pt idx="19">
                  <c:v>0</c:v>
                </c:pt>
                <c:pt idx="20">
                  <c:v>7</c:v>
                </c:pt>
              </c:numCache>
            </c:numRef>
          </c:val>
          <c:extLst>
            <c:ext xmlns:c16="http://schemas.microsoft.com/office/drawing/2014/chart" uri="{C3380CC4-5D6E-409C-BE32-E72D297353CC}">
              <c16:uniqueId val="{00000002-F900-D44B-A954-A497266368B1}"/>
            </c:ext>
          </c:extLst>
        </c:ser>
        <c:dLbls>
          <c:showLegendKey val="0"/>
          <c:showVal val="0"/>
          <c:showCatName val="0"/>
          <c:showSerName val="0"/>
          <c:showPercent val="0"/>
          <c:showBubbleSize val="0"/>
        </c:dLbls>
        <c:gapWidth val="219"/>
        <c:overlap val="100"/>
        <c:axId val="890469455"/>
        <c:axId val="890463823"/>
      </c:barChart>
      <c:catAx>
        <c:axId val="890469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 Type and Dates</a:t>
                </a:r>
              </a:p>
            </c:rich>
          </c:tx>
          <c:layout>
            <c:manualLayout>
              <c:xMode val="edge"/>
              <c:yMode val="edge"/>
              <c:x val="0.44545913125765746"/>
              <c:y val="0.9369553111155375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463823"/>
        <c:crosses val="autoZero"/>
        <c:auto val="1"/>
        <c:lblAlgn val="ctr"/>
        <c:lblOffset val="100"/>
        <c:noMultiLvlLbl val="0"/>
      </c:catAx>
      <c:valAx>
        <c:axId val="890463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baseline="0"/>
                  <a:t>Not Inspected Parts</a:t>
                </a:r>
                <a:endParaRPr lang="en-US" b="1"/>
              </a:p>
            </c:rich>
          </c:tx>
          <c:layout>
            <c:manualLayout>
              <c:xMode val="edge"/>
              <c:yMode val="edge"/>
              <c:x val="9.46008113919042E-3"/>
              <c:y val="0.34379167289838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46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[8136 CS2 DataSet B.xlsx]Level 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Day vs Capacity vs Received vs Stranded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'Level 4'!$C$3</c:f>
              <c:strCache>
                <c:ptCount val="1"/>
                <c:pt idx="0">
                  <c:v>Sum of Capacity</c:v>
                </c:pt>
              </c:strCache>
            </c:strRef>
          </c:tx>
          <c:spPr>
            <a:solidFill>
              <a:schemeClr val="accent1"/>
            </a:solidFill>
            <a:ln>
              <a:noFill/>
            </a:ln>
            <a:effectLst/>
          </c:spPr>
          <c:invertIfNegative val="0"/>
          <c:cat>
            <c:multiLvlStrRef>
              <c:f>'Level 4'!$A$4:$B$25</c:f>
              <c:multiLvlStrCache>
                <c:ptCount val="21"/>
                <c:lvl>
                  <c:pt idx="0">
                    <c:v>105</c:v>
                  </c:pt>
                  <c:pt idx="1">
                    <c:v>105</c:v>
                  </c:pt>
                  <c:pt idx="2">
                    <c:v>105</c:v>
                  </c:pt>
                  <c:pt idx="3">
                    <c:v>105</c:v>
                  </c:pt>
                  <c:pt idx="4">
                    <c:v>105</c:v>
                  </c:pt>
                  <c:pt idx="5">
                    <c:v>105</c:v>
                  </c:pt>
                  <c:pt idx="6">
                    <c:v>105</c:v>
                  </c:pt>
                  <c:pt idx="7">
                    <c:v>105</c:v>
                  </c:pt>
                  <c:pt idx="8">
                    <c:v>105</c:v>
                  </c:pt>
                  <c:pt idx="9">
                    <c:v>105</c:v>
                  </c:pt>
                  <c:pt idx="10">
                    <c:v>105</c:v>
                  </c:pt>
                  <c:pt idx="11">
                    <c:v>105</c:v>
                  </c:pt>
                  <c:pt idx="12">
                    <c:v>105</c:v>
                  </c:pt>
                  <c:pt idx="13">
                    <c:v>105</c:v>
                  </c:pt>
                  <c:pt idx="14">
                    <c:v>105</c:v>
                  </c:pt>
                  <c:pt idx="15">
                    <c:v>105</c:v>
                  </c:pt>
                  <c:pt idx="16">
                    <c:v>105</c:v>
                  </c:pt>
                  <c:pt idx="17">
                    <c:v>105</c:v>
                  </c:pt>
                  <c:pt idx="18">
                    <c:v>105</c:v>
                  </c:pt>
                  <c:pt idx="19">
                    <c:v>105</c:v>
                  </c:pt>
                  <c:pt idx="20">
                    <c:v>105</c:v>
                  </c:pt>
                </c:lvl>
                <c:lvl>
                  <c:pt idx="0">
                    <c:v>01/02/2024</c:v>
                  </c:pt>
                  <c:pt idx="1">
                    <c:v>02/02/2024</c:v>
                  </c:pt>
                  <c:pt idx="2">
                    <c:v>03/02/2024</c:v>
                  </c:pt>
                  <c:pt idx="3">
                    <c:v>06/02/2024</c:v>
                  </c:pt>
                  <c:pt idx="4">
                    <c:v>07/02/2024</c:v>
                  </c:pt>
                  <c:pt idx="5">
                    <c:v>08/02/2024</c:v>
                  </c:pt>
                  <c:pt idx="6">
                    <c:v>09/02/2024</c:v>
                  </c:pt>
                  <c:pt idx="7">
                    <c:v>10/02/2024</c:v>
                  </c:pt>
                  <c:pt idx="8">
                    <c:v>13/02/2024</c:v>
                  </c:pt>
                  <c:pt idx="9">
                    <c:v>14/02/2024</c:v>
                  </c:pt>
                  <c:pt idx="10">
                    <c:v>15/02/2024</c:v>
                  </c:pt>
                  <c:pt idx="11">
                    <c:v>16/02/2024</c:v>
                  </c:pt>
                  <c:pt idx="12">
                    <c:v>17/02/2024</c:v>
                  </c:pt>
                  <c:pt idx="13">
                    <c:v>20/02/2024</c:v>
                  </c:pt>
                  <c:pt idx="14">
                    <c:v>21/02/2024</c:v>
                  </c:pt>
                  <c:pt idx="15">
                    <c:v>22/02/2024</c:v>
                  </c:pt>
                  <c:pt idx="16">
                    <c:v>23/02/2024</c:v>
                  </c:pt>
                  <c:pt idx="17">
                    <c:v>24/02/2024</c:v>
                  </c:pt>
                  <c:pt idx="18">
                    <c:v>27/02/2024</c:v>
                  </c:pt>
                  <c:pt idx="19">
                    <c:v>28/02/2024</c:v>
                  </c:pt>
                  <c:pt idx="20">
                    <c:v>29/02/2024</c:v>
                  </c:pt>
                </c:lvl>
              </c:multiLvlStrCache>
            </c:multiLvlStrRef>
          </c:cat>
          <c:val>
            <c:numRef>
              <c:f>'Level 4'!$C$4:$C$25</c:f>
              <c:numCache>
                <c:formatCode>General</c:formatCode>
                <c:ptCount val="21"/>
                <c:pt idx="0">
                  <c:v>162</c:v>
                </c:pt>
                <c:pt idx="1">
                  <c:v>162</c:v>
                </c:pt>
                <c:pt idx="2">
                  <c:v>162</c:v>
                </c:pt>
                <c:pt idx="3">
                  <c:v>162</c:v>
                </c:pt>
                <c:pt idx="4">
                  <c:v>162</c:v>
                </c:pt>
                <c:pt idx="5">
                  <c:v>162</c:v>
                </c:pt>
                <c:pt idx="6">
                  <c:v>162</c:v>
                </c:pt>
                <c:pt idx="7">
                  <c:v>162</c:v>
                </c:pt>
                <c:pt idx="8">
                  <c:v>162</c:v>
                </c:pt>
                <c:pt idx="9">
                  <c:v>162</c:v>
                </c:pt>
                <c:pt idx="10">
                  <c:v>162</c:v>
                </c:pt>
                <c:pt idx="11">
                  <c:v>162</c:v>
                </c:pt>
                <c:pt idx="12">
                  <c:v>162</c:v>
                </c:pt>
                <c:pt idx="13">
                  <c:v>162</c:v>
                </c:pt>
                <c:pt idx="14">
                  <c:v>162</c:v>
                </c:pt>
                <c:pt idx="15">
                  <c:v>162</c:v>
                </c:pt>
                <c:pt idx="16">
                  <c:v>162</c:v>
                </c:pt>
                <c:pt idx="17">
                  <c:v>162</c:v>
                </c:pt>
                <c:pt idx="18">
                  <c:v>162</c:v>
                </c:pt>
                <c:pt idx="19">
                  <c:v>162</c:v>
                </c:pt>
                <c:pt idx="20">
                  <c:v>162</c:v>
                </c:pt>
              </c:numCache>
            </c:numRef>
          </c:val>
          <c:extLst>
            <c:ext xmlns:c16="http://schemas.microsoft.com/office/drawing/2014/chart" uri="{C3380CC4-5D6E-409C-BE32-E72D297353CC}">
              <c16:uniqueId val="{00000000-BBB0-A14C-997B-96E197CB976F}"/>
            </c:ext>
          </c:extLst>
        </c:ser>
        <c:ser>
          <c:idx val="1"/>
          <c:order val="1"/>
          <c:tx>
            <c:strRef>
              <c:f>'Level 4'!$D$3</c:f>
              <c:strCache>
                <c:ptCount val="1"/>
                <c:pt idx="0">
                  <c:v>Sum of Received</c:v>
                </c:pt>
              </c:strCache>
            </c:strRef>
          </c:tx>
          <c:spPr>
            <a:solidFill>
              <a:schemeClr val="accent2"/>
            </a:solidFill>
            <a:ln>
              <a:noFill/>
            </a:ln>
            <a:effectLst/>
          </c:spPr>
          <c:invertIfNegative val="0"/>
          <c:cat>
            <c:multiLvlStrRef>
              <c:f>'Level 4'!$A$4:$B$25</c:f>
              <c:multiLvlStrCache>
                <c:ptCount val="21"/>
                <c:lvl>
                  <c:pt idx="0">
                    <c:v>105</c:v>
                  </c:pt>
                  <c:pt idx="1">
                    <c:v>105</c:v>
                  </c:pt>
                  <c:pt idx="2">
                    <c:v>105</c:v>
                  </c:pt>
                  <c:pt idx="3">
                    <c:v>105</c:v>
                  </c:pt>
                  <c:pt idx="4">
                    <c:v>105</c:v>
                  </c:pt>
                  <c:pt idx="5">
                    <c:v>105</c:v>
                  </c:pt>
                  <c:pt idx="6">
                    <c:v>105</c:v>
                  </c:pt>
                  <c:pt idx="7">
                    <c:v>105</c:v>
                  </c:pt>
                  <c:pt idx="8">
                    <c:v>105</c:v>
                  </c:pt>
                  <c:pt idx="9">
                    <c:v>105</c:v>
                  </c:pt>
                  <c:pt idx="10">
                    <c:v>105</c:v>
                  </c:pt>
                  <c:pt idx="11">
                    <c:v>105</c:v>
                  </c:pt>
                  <c:pt idx="12">
                    <c:v>105</c:v>
                  </c:pt>
                  <c:pt idx="13">
                    <c:v>105</c:v>
                  </c:pt>
                  <c:pt idx="14">
                    <c:v>105</c:v>
                  </c:pt>
                  <c:pt idx="15">
                    <c:v>105</c:v>
                  </c:pt>
                  <c:pt idx="16">
                    <c:v>105</c:v>
                  </c:pt>
                  <c:pt idx="17">
                    <c:v>105</c:v>
                  </c:pt>
                  <c:pt idx="18">
                    <c:v>105</c:v>
                  </c:pt>
                  <c:pt idx="19">
                    <c:v>105</c:v>
                  </c:pt>
                  <c:pt idx="20">
                    <c:v>105</c:v>
                  </c:pt>
                </c:lvl>
                <c:lvl>
                  <c:pt idx="0">
                    <c:v>01/02/2024</c:v>
                  </c:pt>
                  <c:pt idx="1">
                    <c:v>02/02/2024</c:v>
                  </c:pt>
                  <c:pt idx="2">
                    <c:v>03/02/2024</c:v>
                  </c:pt>
                  <c:pt idx="3">
                    <c:v>06/02/2024</c:v>
                  </c:pt>
                  <c:pt idx="4">
                    <c:v>07/02/2024</c:v>
                  </c:pt>
                  <c:pt idx="5">
                    <c:v>08/02/2024</c:v>
                  </c:pt>
                  <c:pt idx="6">
                    <c:v>09/02/2024</c:v>
                  </c:pt>
                  <c:pt idx="7">
                    <c:v>10/02/2024</c:v>
                  </c:pt>
                  <c:pt idx="8">
                    <c:v>13/02/2024</c:v>
                  </c:pt>
                  <c:pt idx="9">
                    <c:v>14/02/2024</c:v>
                  </c:pt>
                  <c:pt idx="10">
                    <c:v>15/02/2024</c:v>
                  </c:pt>
                  <c:pt idx="11">
                    <c:v>16/02/2024</c:v>
                  </c:pt>
                  <c:pt idx="12">
                    <c:v>17/02/2024</c:v>
                  </c:pt>
                  <c:pt idx="13">
                    <c:v>20/02/2024</c:v>
                  </c:pt>
                  <c:pt idx="14">
                    <c:v>21/02/2024</c:v>
                  </c:pt>
                  <c:pt idx="15">
                    <c:v>22/02/2024</c:v>
                  </c:pt>
                  <c:pt idx="16">
                    <c:v>23/02/2024</c:v>
                  </c:pt>
                  <c:pt idx="17">
                    <c:v>24/02/2024</c:v>
                  </c:pt>
                  <c:pt idx="18">
                    <c:v>27/02/2024</c:v>
                  </c:pt>
                  <c:pt idx="19">
                    <c:v>28/02/2024</c:v>
                  </c:pt>
                  <c:pt idx="20">
                    <c:v>29/02/2024</c:v>
                  </c:pt>
                </c:lvl>
              </c:multiLvlStrCache>
            </c:multiLvlStrRef>
          </c:cat>
          <c:val>
            <c:numRef>
              <c:f>'Level 4'!$D$4:$D$25</c:f>
              <c:numCache>
                <c:formatCode>General</c:formatCode>
                <c:ptCount val="21"/>
                <c:pt idx="0">
                  <c:v>165</c:v>
                </c:pt>
                <c:pt idx="1">
                  <c:v>163</c:v>
                </c:pt>
                <c:pt idx="2">
                  <c:v>194</c:v>
                </c:pt>
                <c:pt idx="3">
                  <c:v>152</c:v>
                </c:pt>
                <c:pt idx="4">
                  <c:v>173</c:v>
                </c:pt>
                <c:pt idx="5">
                  <c:v>183</c:v>
                </c:pt>
                <c:pt idx="6">
                  <c:v>176</c:v>
                </c:pt>
                <c:pt idx="7">
                  <c:v>171</c:v>
                </c:pt>
                <c:pt idx="8">
                  <c:v>153</c:v>
                </c:pt>
                <c:pt idx="9">
                  <c:v>153</c:v>
                </c:pt>
                <c:pt idx="10">
                  <c:v>162</c:v>
                </c:pt>
                <c:pt idx="11">
                  <c:v>189</c:v>
                </c:pt>
                <c:pt idx="12">
                  <c:v>140</c:v>
                </c:pt>
                <c:pt idx="13">
                  <c:v>136</c:v>
                </c:pt>
                <c:pt idx="14">
                  <c:v>137</c:v>
                </c:pt>
                <c:pt idx="15">
                  <c:v>155</c:v>
                </c:pt>
                <c:pt idx="16">
                  <c:v>178</c:v>
                </c:pt>
                <c:pt idx="17">
                  <c:v>136</c:v>
                </c:pt>
                <c:pt idx="18">
                  <c:v>139</c:v>
                </c:pt>
                <c:pt idx="19">
                  <c:v>179</c:v>
                </c:pt>
                <c:pt idx="20">
                  <c:v>134</c:v>
                </c:pt>
              </c:numCache>
            </c:numRef>
          </c:val>
          <c:extLst>
            <c:ext xmlns:c16="http://schemas.microsoft.com/office/drawing/2014/chart" uri="{C3380CC4-5D6E-409C-BE32-E72D297353CC}">
              <c16:uniqueId val="{00000001-BBB0-A14C-997B-96E197CB976F}"/>
            </c:ext>
          </c:extLst>
        </c:ser>
        <c:dLbls>
          <c:showLegendKey val="0"/>
          <c:showVal val="0"/>
          <c:showCatName val="0"/>
          <c:showSerName val="0"/>
          <c:showPercent val="0"/>
          <c:showBubbleSize val="0"/>
        </c:dLbls>
        <c:gapWidth val="219"/>
        <c:axId val="583213136"/>
        <c:axId val="891282239"/>
      </c:barChart>
      <c:lineChart>
        <c:grouping val="standard"/>
        <c:varyColors val="0"/>
        <c:ser>
          <c:idx val="2"/>
          <c:order val="2"/>
          <c:tx>
            <c:strRef>
              <c:f>'Level 4'!$E$3</c:f>
              <c:strCache>
                <c:ptCount val="1"/>
                <c:pt idx="0">
                  <c:v>Sum of Received Inspected</c:v>
                </c:pt>
              </c:strCache>
            </c:strRef>
          </c:tx>
          <c:spPr>
            <a:ln w="28575" cap="rnd">
              <a:solidFill>
                <a:schemeClr val="accent3"/>
              </a:solidFill>
              <a:round/>
            </a:ln>
            <a:effectLst/>
          </c:spPr>
          <c:marker>
            <c:symbol val="none"/>
          </c:marker>
          <c:cat>
            <c:multiLvlStrRef>
              <c:f>'Level 4'!$A$4:$B$25</c:f>
              <c:multiLvlStrCache>
                <c:ptCount val="21"/>
                <c:lvl>
                  <c:pt idx="0">
                    <c:v>105</c:v>
                  </c:pt>
                  <c:pt idx="1">
                    <c:v>105</c:v>
                  </c:pt>
                  <c:pt idx="2">
                    <c:v>105</c:v>
                  </c:pt>
                  <c:pt idx="3">
                    <c:v>105</c:v>
                  </c:pt>
                  <c:pt idx="4">
                    <c:v>105</c:v>
                  </c:pt>
                  <c:pt idx="5">
                    <c:v>105</c:v>
                  </c:pt>
                  <c:pt idx="6">
                    <c:v>105</c:v>
                  </c:pt>
                  <c:pt idx="7">
                    <c:v>105</c:v>
                  </c:pt>
                  <c:pt idx="8">
                    <c:v>105</c:v>
                  </c:pt>
                  <c:pt idx="9">
                    <c:v>105</c:v>
                  </c:pt>
                  <c:pt idx="10">
                    <c:v>105</c:v>
                  </c:pt>
                  <c:pt idx="11">
                    <c:v>105</c:v>
                  </c:pt>
                  <c:pt idx="12">
                    <c:v>105</c:v>
                  </c:pt>
                  <c:pt idx="13">
                    <c:v>105</c:v>
                  </c:pt>
                  <c:pt idx="14">
                    <c:v>105</c:v>
                  </c:pt>
                  <c:pt idx="15">
                    <c:v>105</c:v>
                  </c:pt>
                  <c:pt idx="16">
                    <c:v>105</c:v>
                  </c:pt>
                  <c:pt idx="17">
                    <c:v>105</c:v>
                  </c:pt>
                  <c:pt idx="18">
                    <c:v>105</c:v>
                  </c:pt>
                  <c:pt idx="19">
                    <c:v>105</c:v>
                  </c:pt>
                  <c:pt idx="20">
                    <c:v>105</c:v>
                  </c:pt>
                </c:lvl>
                <c:lvl>
                  <c:pt idx="0">
                    <c:v>01/02/2024</c:v>
                  </c:pt>
                  <c:pt idx="1">
                    <c:v>02/02/2024</c:v>
                  </c:pt>
                  <c:pt idx="2">
                    <c:v>03/02/2024</c:v>
                  </c:pt>
                  <c:pt idx="3">
                    <c:v>06/02/2024</c:v>
                  </c:pt>
                  <c:pt idx="4">
                    <c:v>07/02/2024</c:v>
                  </c:pt>
                  <c:pt idx="5">
                    <c:v>08/02/2024</c:v>
                  </c:pt>
                  <c:pt idx="6">
                    <c:v>09/02/2024</c:v>
                  </c:pt>
                  <c:pt idx="7">
                    <c:v>10/02/2024</c:v>
                  </c:pt>
                  <c:pt idx="8">
                    <c:v>13/02/2024</c:v>
                  </c:pt>
                  <c:pt idx="9">
                    <c:v>14/02/2024</c:v>
                  </c:pt>
                  <c:pt idx="10">
                    <c:v>15/02/2024</c:v>
                  </c:pt>
                  <c:pt idx="11">
                    <c:v>16/02/2024</c:v>
                  </c:pt>
                  <c:pt idx="12">
                    <c:v>17/02/2024</c:v>
                  </c:pt>
                  <c:pt idx="13">
                    <c:v>20/02/2024</c:v>
                  </c:pt>
                  <c:pt idx="14">
                    <c:v>21/02/2024</c:v>
                  </c:pt>
                  <c:pt idx="15">
                    <c:v>22/02/2024</c:v>
                  </c:pt>
                  <c:pt idx="16">
                    <c:v>23/02/2024</c:v>
                  </c:pt>
                  <c:pt idx="17">
                    <c:v>24/02/2024</c:v>
                  </c:pt>
                  <c:pt idx="18">
                    <c:v>27/02/2024</c:v>
                  </c:pt>
                  <c:pt idx="19">
                    <c:v>28/02/2024</c:v>
                  </c:pt>
                  <c:pt idx="20">
                    <c:v>29/02/2024</c:v>
                  </c:pt>
                </c:lvl>
              </c:multiLvlStrCache>
            </c:multiLvlStrRef>
          </c:cat>
          <c:val>
            <c:numRef>
              <c:f>'Level 4'!$E$4:$E$25</c:f>
              <c:numCache>
                <c:formatCode>General</c:formatCode>
                <c:ptCount val="21"/>
                <c:pt idx="0">
                  <c:v>155</c:v>
                </c:pt>
                <c:pt idx="1">
                  <c:v>163</c:v>
                </c:pt>
                <c:pt idx="2">
                  <c:v>157</c:v>
                </c:pt>
                <c:pt idx="3">
                  <c:v>152</c:v>
                </c:pt>
                <c:pt idx="4">
                  <c:v>160</c:v>
                </c:pt>
                <c:pt idx="5">
                  <c:v>158</c:v>
                </c:pt>
                <c:pt idx="6">
                  <c:v>153</c:v>
                </c:pt>
                <c:pt idx="7">
                  <c:v>133</c:v>
                </c:pt>
                <c:pt idx="8">
                  <c:v>153</c:v>
                </c:pt>
                <c:pt idx="9">
                  <c:v>153</c:v>
                </c:pt>
                <c:pt idx="10">
                  <c:v>155</c:v>
                </c:pt>
                <c:pt idx="11">
                  <c:v>158</c:v>
                </c:pt>
                <c:pt idx="12">
                  <c:v>140</c:v>
                </c:pt>
                <c:pt idx="13">
                  <c:v>136</c:v>
                </c:pt>
                <c:pt idx="14">
                  <c:v>137</c:v>
                </c:pt>
                <c:pt idx="15">
                  <c:v>155</c:v>
                </c:pt>
                <c:pt idx="16">
                  <c:v>158</c:v>
                </c:pt>
                <c:pt idx="17">
                  <c:v>136</c:v>
                </c:pt>
                <c:pt idx="18">
                  <c:v>139</c:v>
                </c:pt>
                <c:pt idx="19">
                  <c:v>155</c:v>
                </c:pt>
                <c:pt idx="20">
                  <c:v>134</c:v>
                </c:pt>
              </c:numCache>
            </c:numRef>
          </c:val>
          <c:smooth val="0"/>
          <c:extLst>
            <c:ext xmlns:c16="http://schemas.microsoft.com/office/drawing/2014/chart" uri="{C3380CC4-5D6E-409C-BE32-E72D297353CC}">
              <c16:uniqueId val="{00000002-BBB0-A14C-997B-96E197CB976F}"/>
            </c:ext>
          </c:extLst>
        </c:ser>
        <c:ser>
          <c:idx val="3"/>
          <c:order val="3"/>
          <c:tx>
            <c:strRef>
              <c:f>'Level 4'!$F$3</c:f>
              <c:strCache>
                <c:ptCount val="1"/>
                <c:pt idx="0">
                  <c:v>Sum of Not Inspected</c:v>
                </c:pt>
              </c:strCache>
            </c:strRef>
          </c:tx>
          <c:spPr>
            <a:ln w="28575" cap="rnd">
              <a:solidFill>
                <a:schemeClr val="accent4"/>
              </a:solidFill>
              <a:round/>
            </a:ln>
            <a:effectLst/>
          </c:spPr>
          <c:marker>
            <c:symbol val="none"/>
          </c:marker>
          <c:cat>
            <c:multiLvlStrRef>
              <c:f>'Level 4'!$A$4:$B$25</c:f>
              <c:multiLvlStrCache>
                <c:ptCount val="21"/>
                <c:lvl>
                  <c:pt idx="0">
                    <c:v>105</c:v>
                  </c:pt>
                  <c:pt idx="1">
                    <c:v>105</c:v>
                  </c:pt>
                  <c:pt idx="2">
                    <c:v>105</c:v>
                  </c:pt>
                  <c:pt idx="3">
                    <c:v>105</c:v>
                  </c:pt>
                  <c:pt idx="4">
                    <c:v>105</c:v>
                  </c:pt>
                  <c:pt idx="5">
                    <c:v>105</c:v>
                  </c:pt>
                  <c:pt idx="6">
                    <c:v>105</c:v>
                  </c:pt>
                  <c:pt idx="7">
                    <c:v>105</c:v>
                  </c:pt>
                  <c:pt idx="8">
                    <c:v>105</c:v>
                  </c:pt>
                  <c:pt idx="9">
                    <c:v>105</c:v>
                  </c:pt>
                  <c:pt idx="10">
                    <c:v>105</c:v>
                  </c:pt>
                  <c:pt idx="11">
                    <c:v>105</c:v>
                  </c:pt>
                  <c:pt idx="12">
                    <c:v>105</c:v>
                  </c:pt>
                  <c:pt idx="13">
                    <c:v>105</c:v>
                  </c:pt>
                  <c:pt idx="14">
                    <c:v>105</c:v>
                  </c:pt>
                  <c:pt idx="15">
                    <c:v>105</c:v>
                  </c:pt>
                  <c:pt idx="16">
                    <c:v>105</c:v>
                  </c:pt>
                  <c:pt idx="17">
                    <c:v>105</c:v>
                  </c:pt>
                  <c:pt idx="18">
                    <c:v>105</c:v>
                  </c:pt>
                  <c:pt idx="19">
                    <c:v>105</c:v>
                  </c:pt>
                  <c:pt idx="20">
                    <c:v>105</c:v>
                  </c:pt>
                </c:lvl>
                <c:lvl>
                  <c:pt idx="0">
                    <c:v>01/02/2024</c:v>
                  </c:pt>
                  <c:pt idx="1">
                    <c:v>02/02/2024</c:v>
                  </c:pt>
                  <c:pt idx="2">
                    <c:v>03/02/2024</c:v>
                  </c:pt>
                  <c:pt idx="3">
                    <c:v>06/02/2024</c:v>
                  </c:pt>
                  <c:pt idx="4">
                    <c:v>07/02/2024</c:v>
                  </c:pt>
                  <c:pt idx="5">
                    <c:v>08/02/2024</c:v>
                  </c:pt>
                  <c:pt idx="6">
                    <c:v>09/02/2024</c:v>
                  </c:pt>
                  <c:pt idx="7">
                    <c:v>10/02/2024</c:v>
                  </c:pt>
                  <c:pt idx="8">
                    <c:v>13/02/2024</c:v>
                  </c:pt>
                  <c:pt idx="9">
                    <c:v>14/02/2024</c:v>
                  </c:pt>
                  <c:pt idx="10">
                    <c:v>15/02/2024</c:v>
                  </c:pt>
                  <c:pt idx="11">
                    <c:v>16/02/2024</c:v>
                  </c:pt>
                  <c:pt idx="12">
                    <c:v>17/02/2024</c:v>
                  </c:pt>
                  <c:pt idx="13">
                    <c:v>20/02/2024</c:v>
                  </c:pt>
                  <c:pt idx="14">
                    <c:v>21/02/2024</c:v>
                  </c:pt>
                  <c:pt idx="15">
                    <c:v>22/02/2024</c:v>
                  </c:pt>
                  <c:pt idx="16">
                    <c:v>23/02/2024</c:v>
                  </c:pt>
                  <c:pt idx="17">
                    <c:v>24/02/2024</c:v>
                  </c:pt>
                  <c:pt idx="18">
                    <c:v>27/02/2024</c:v>
                  </c:pt>
                  <c:pt idx="19">
                    <c:v>28/02/2024</c:v>
                  </c:pt>
                  <c:pt idx="20">
                    <c:v>29/02/2024</c:v>
                  </c:pt>
                </c:lvl>
              </c:multiLvlStrCache>
            </c:multiLvlStrRef>
          </c:cat>
          <c:val>
            <c:numRef>
              <c:f>'Level 4'!$F$4:$F$25</c:f>
              <c:numCache>
                <c:formatCode>General</c:formatCode>
                <c:ptCount val="21"/>
                <c:pt idx="0">
                  <c:v>0</c:v>
                </c:pt>
                <c:pt idx="1">
                  <c:v>10</c:v>
                </c:pt>
                <c:pt idx="2">
                  <c:v>20</c:v>
                </c:pt>
                <c:pt idx="3">
                  <c:v>0</c:v>
                </c:pt>
                <c:pt idx="4">
                  <c:v>53</c:v>
                </c:pt>
                <c:pt idx="5">
                  <c:v>16</c:v>
                </c:pt>
                <c:pt idx="6">
                  <c:v>8</c:v>
                </c:pt>
                <c:pt idx="7">
                  <c:v>0</c:v>
                </c:pt>
                <c:pt idx="8">
                  <c:v>0</c:v>
                </c:pt>
                <c:pt idx="9">
                  <c:v>4</c:v>
                </c:pt>
                <c:pt idx="10">
                  <c:v>0</c:v>
                </c:pt>
                <c:pt idx="11">
                  <c:v>0</c:v>
                </c:pt>
                <c:pt idx="12">
                  <c:v>5</c:v>
                </c:pt>
                <c:pt idx="13">
                  <c:v>12</c:v>
                </c:pt>
                <c:pt idx="14">
                  <c:v>0</c:v>
                </c:pt>
                <c:pt idx="15">
                  <c:v>0</c:v>
                </c:pt>
                <c:pt idx="16">
                  <c:v>0</c:v>
                </c:pt>
                <c:pt idx="17">
                  <c:v>0</c:v>
                </c:pt>
                <c:pt idx="18">
                  <c:v>0</c:v>
                </c:pt>
                <c:pt idx="19">
                  <c:v>0</c:v>
                </c:pt>
                <c:pt idx="20">
                  <c:v>7</c:v>
                </c:pt>
              </c:numCache>
            </c:numRef>
          </c:val>
          <c:smooth val="0"/>
          <c:extLst>
            <c:ext xmlns:c16="http://schemas.microsoft.com/office/drawing/2014/chart" uri="{C3380CC4-5D6E-409C-BE32-E72D297353CC}">
              <c16:uniqueId val="{00000003-BBB0-A14C-997B-96E197CB976F}"/>
            </c:ext>
          </c:extLst>
        </c:ser>
        <c:dLbls>
          <c:showLegendKey val="0"/>
          <c:showVal val="0"/>
          <c:showCatName val="0"/>
          <c:showSerName val="0"/>
          <c:showPercent val="0"/>
          <c:showBubbleSize val="0"/>
        </c:dLbls>
        <c:marker val="1"/>
        <c:smooth val="0"/>
        <c:axId val="583213136"/>
        <c:axId val="891282239"/>
      </c:lineChart>
      <c:catAx>
        <c:axId val="583213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 Type and 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282239"/>
        <c:crosses val="autoZero"/>
        <c:auto val="1"/>
        <c:lblAlgn val="ctr"/>
        <c:lblOffset val="100"/>
        <c:noMultiLvlLbl val="0"/>
      </c:catAx>
      <c:valAx>
        <c:axId val="891282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Number of Parts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21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982133</xdr:colOff>
      <xdr:row>29</xdr:row>
      <xdr:rowOff>177800</xdr:rowOff>
    </xdr:from>
    <xdr:to>
      <xdr:col>8</xdr:col>
      <xdr:colOff>668867</xdr:colOff>
      <xdr:row>29</xdr:row>
      <xdr:rowOff>2878667</xdr:rowOff>
    </xdr:to>
    <xdr:graphicFrame macro="">
      <xdr:nvGraphicFramePr>
        <xdr:cNvPr id="2" name="Chart 1">
          <a:extLst>
            <a:ext uri="{FF2B5EF4-FFF2-40B4-BE49-F238E27FC236}">
              <a16:creationId xmlns:a16="http://schemas.microsoft.com/office/drawing/2014/main" id="{126CE824-2309-FB45-91DA-AE72112D7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228600</xdr:colOff>
      <xdr:row>33</xdr:row>
      <xdr:rowOff>253999</xdr:rowOff>
    </xdr:from>
    <xdr:to>
      <xdr:col>8</xdr:col>
      <xdr:colOff>1456267</xdr:colOff>
      <xdr:row>33</xdr:row>
      <xdr:rowOff>3234266</xdr:rowOff>
    </xdr:to>
    <xdr:pic>
      <xdr:nvPicPr>
        <xdr:cNvPr id="4" name="Picture 3">
          <a:extLst>
            <a:ext uri="{FF2B5EF4-FFF2-40B4-BE49-F238E27FC236}">
              <a16:creationId xmlns:a16="http://schemas.microsoft.com/office/drawing/2014/main" id="{71799572-54D1-82FC-8426-AE40B73E9F7C}"/>
            </a:ext>
          </a:extLst>
        </xdr:cNvPr>
        <xdr:cNvPicPr>
          <a:picLocks noChangeAspect="1"/>
        </xdr:cNvPicPr>
      </xdr:nvPicPr>
      <xdr:blipFill>
        <a:blip xmlns:r="http://schemas.openxmlformats.org/officeDocument/2006/relationships" r:embed="rId2"/>
        <a:stretch>
          <a:fillRect/>
        </a:stretch>
      </xdr:blipFill>
      <xdr:spPr>
        <a:xfrm>
          <a:off x="228600" y="11785599"/>
          <a:ext cx="8128000" cy="2980267"/>
        </a:xfrm>
        <a:prstGeom prst="rect">
          <a:avLst/>
        </a:prstGeom>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311150</xdr:colOff>
      <xdr:row>3</xdr:row>
      <xdr:rowOff>19050</xdr:rowOff>
    </xdr:from>
    <xdr:to>
      <xdr:col>12</xdr:col>
      <xdr:colOff>317500</xdr:colOff>
      <xdr:row>22</xdr:row>
      <xdr:rowOff>12700</xdr:rowOff>
    </xdr:to>
    <xdr:graphicFrame macro="">
      <xdr:nvGraphicFramePr>
        <xdr:cNvPr id="2" name="Chart 1">
          <a:extLst>
            <a:ext uri="{FF2B5EF4-FFF2-40B4-BE49-F238E27FC236}">
              <a16:creationId xmlns:a16="http://schemas.microsoft.com/office/drawing/2014/main" id="{51680CB5-1804-BC74-EF87-C880FC7DF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514350</xdr:colOff>
      <xdr:row>2</xdr:row>
      <xdr:rowOff>0</xdr:rowOff>
    </xdr:from>
    <xdr:to>
      <xdr:col>12</xdr:col>
      <xdr:colOff>273050</xdr:colOff>
      <xdr:row>16</xdr:row>
      <xdr:rowOff>76200</xdr:rowOff>
    </xdr:to>
    <xdr:graphicFrame macro="">
      <xdr:nvGraphicFramePr>
        <xdr:cNvPr id="2" name="Chart 1">
          <a:extLst>
            <a:ext uri="{FF2B5EF4-FFF2-40B4-BE49-F238E27FC236}">
              <a16:creationId xmlns:a16="http://schemas.microsoft.com/office/drawing/2014/main" id="{FFFBB4C9-4E5A-35EB-9587-346B1137E1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266807</xdr:colOff>
      <xdr:row>2</xdr:row>
      <xdr:rowOff>0</xdr:rowOff>
    </xdr:from>
    <xdr:to>
      <xdr:col>22</xdr:col>
      <xdr:colOff>565631</xdr:colOff>
      <xdr:row>30</xdr:row>
      <xdr:rowOff>152400</xdr:rowOff>
    </xdr:to>
    <xdr:graphicFrame macro="">
      <xdr:nvGraphicFramePr>
        <xdr:cNvPr id="2" name="Chart 1">
          <a:extLst>
            <a:ext uri="{FF2B5EF4-FFF2-40B4-BE49-F238E27FC236}">
              <a16:creationId xmlns:a16="http://schemas.microsoft.com/office/drawing/2014/main" id="{89135B32-4FE2-B8D3-EA80-85C92AB55B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393700</xdr:colOff>
      <xdr:row>2</xdr:row>
      <xdr:rowOff>12699</xdr:rowOff>
    </xdr:from>
    <xdr:to>
      <xdr:col>22</xdr:col>
      <xdr:colOff>582568</xdr:colOff>
      <xdr:row>26</xdr:row>
      <xdr:rowOff>11652</xdr:rowOff>
    </xdr:to>
    <xdr:graphicFrame macro="">
      <xdr:nvGraphicFramePr>
        <xdr:cNvPr id="2" name="Chart 1">
          <a:extLst>
            <a:ext uri="{FF2B5EF4-FFF2-40B4-BE49-F238E27FC236}">
              <a16:creationId xmlns:a16="http://schemas.microsoft.com/office/drawing/2014/main" id="{CD5C8533-F441-67D2-B6C0-8F209084A0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393700</xdr:colOff>
      <xdr:row>2</xdr:row>
      <xdr:rowOff>0</xdr:rowOff>
    </xdr:from>
    <xdr:to>
      <xdr:col>23</xdr:col>
      <xdr:colOff>596900</xdr:colOff>
      <xdr:row>25</xdr:row>
      <xdr:rowOff>0</xdr:rowOff>
    </xdr:to>
    <xdr:graphicFrame macro="">
      <xdr:nvGraphicFramePr>
        <xdr:cNvPr id="2" name="Chart 1">
          <a:extLst>
            <a:ext uri="{FF2B5EF4-FFF2-40B4-BE49-F238E27FC236}">
              <a16:creationId xmlns:a16="http://schemas.microsoft.com/office/drawing/2014/main" id="{B1AF0751-7F73-E438-C6B2-43CC1FAAE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Salvi" refreshedDate="45862.681537037039" createdVersion="8" refreshedVersion="8" minRefreshableVersion="3" recordCount="63" xr:uid="{5DB285DF-EE5A-C348-B69C-EBFD6F019D4A}">
  <cacheSource type="worksheet">
    <worksheetSource ref="B7:AN70" sheet="Line B Dataset"/>
  </cacheSource>
  <cacheFields count="39">
    <cacheField name="InspectDataID" numFmtId="0">
      <sharedItems containsSemiMixedTypes="0" containsString="0" containsNumber="1" containsInteger="1" minValue="160" maxValue="246"/>
    </cacheField>
    <cacheField name="Date" numFmtId="14">
      <sharedItems containsSemiMixedTypes="0" containsNonDate="0" containsDate="1" containsString="0" minDate="2024-02-01T00:00:00" maxDate="2024-03-01T00:00:00" count="21">
        <d v="2024-02-01T00:00:00"/>
        <d v="2024-02-02T00:00:00"/>
        <d v="2024-02-03T00:00:00"/>
        <d v="2024-02-06T00:00:00"/>
        <d v="2024-02-07T00:00:00"/>
        <d v="2024-02-08T00:00:00"/>
        <d v="2024-02-09T00:00:00"/>
        <d v="2024-02-10T00:00:00"/>
        <d v="2024-02-13T00:00:00"/>
        <d v="2024-02-14T00:00:00"/>
        <d v="2024-02-15T00:00:00"/>
        <d v="2024-02-16T00:00:00"/>
        <d v="2024-02-17T00:00:00"/>
        <d v="2024-02-20T00:00:00"/>
        <d v="2024-02-21T00:00:00"/>
        <d v="2024-02-22T00:00:00"/>
        <d v="2024-02-23T00:00:00"/>
        <d v="2024-02-24T00:00:00"/>
        <d v="2024-02-27T00:00:00"/>
        <d v="2024-02-28T00:00:00"/>
        <d v="2024-02-29T00:00:00"/>
      </sharedItems>
    </cacheField>
    <cacheField name="Day of Week" numFmtId="0">
      <sharedItems containsSemiMixedTypes="0" containsString="0" containsNumber="1" containsInteger="1" minValue="3" maxValue="7"/>
    </cacheField>
    <cacheField name="Week" numFmtId="0">
      <sharedItems containsSemiMixedTypes="0" containsString="0" containsNumber="1" containsInteger="1" minValue="5" maxValue="9" count="5">
        <n v="5"/>
        <n v="6"/>
        <n v="7"/>
        <n v="8"/>
        <n v="9"/>
      </sharedItems>
    </cacheField>
    <cacheField name="Shift" numFmtId="0">
      <sharedItems containsSemiMixedTypes="0" containsString="0" containsNumber="1" containsInteger="1" minValue="1" maxValue="3" count="3">
        <n v="1"/>
        <n v="2"/>
        <n v="3"/>
      </sharedItems>
    </cacheField>
    <cacheField name="LineB-ProdType" numFmtId="0">
      <sharedItems containsSemiMixedTypes="0" containsString="0" containsNumber="1" containsInteger="1" minValue="105" maxValue="105" count="1">
        <n v="105"/>
      </sharedItems>
    </cacheField>
    <cacheField name="Received" numFmtId="0">
      <sharedItems containsSemiMixedTypes="0" containsString="0" containsNumber="1" containsInteger="1" minValue="134" maxValue="259"/>
    </cacheField>
    <cacheField name="Received Inspected" numFmtId="0">
      <sharedItems containsSemiMixedTypes="0" containsString="0" containsNumber="1" containsInteger="1" minValue="133" maxValue="224"/>
    </cacheField>
    <cacheField name="Leftover Inspected" numFmtId="0">
      <sharedItems containsSemiMixedTypes="0" containsString="0" containsNumber="1" containsInteger="1" minValue="0" maxValue="44"/>
    </cacheField>
    <cacheField name="Capacity" numFmtId="0">
      <sharedItems containsSemiMixedTypes="0" containsString="0" containsNumber="1" containsInteger="1" minValue="162" maxValue="216"/>
    </cacheField>
    <cacheField name="Not Inspected" numFmtId="0">
      <sharedItems containsSemiMixedTypes="0" containsString="0" containsNumber="1" containsInteger="1" minValue="0" maxValue="53"/>
    </cacheField>
    <cacheField name="Left From Day Shift for 3rd Shift" numFmtId="0">
      <sharedItems containsSemiMixedTypes="0" containsString="0" containsNumber="1" containsInteger="1" minValue="0" maxValue="71"/>
    </cacheField>
    <cacheField name="Inspect Pass" numFmtId="0">
      <sharedItems containsSemiMixedTypes="0" containsString="0" containsNumber="1" containsInteger="1" minValue="132" maxValue="217"/>
    </cacheField>
    <cacheField name="Over/Under" numFmtId="0">
      <sharedItems containsSemiMixedTypes="0" containsString="0" containsNumber="1" containsInteger="1" minValue="0" maxValue="51"/>
    </cacheField>
    <cacheField name="Pass%" numFmtId="167">
      <sharedItems containsSemiMixedTypes="0" containsString="0" containsNumber="1" minValue="0.92485549132947975" maxValue="1.2835820895522387"/>
    </cacheField>
    <cacheField name="Supplier Income per Part" numFmtId="2">
      <sharedItems containsSemiMixedTypes="0" containsString="0" containsNumber="1" containsInteger="1" minValue="184" maxValue="184"/>
    </cacheField>
    <cacheField name="Supplier Cost to Make" numFmtId="2">
      <sharedItems containsSemiMixedTypes="0" containsString="0" containsNumber="1" containsInteger="1" minValue="129" maxValue="129"/>
    </cacheField>
    <cacheField name="Supplier Other Cost" numFmtId="2">
      <sharedItems containsSemiMixedTypes="0" containsString="0" containsNumber="1" containsInteger="1" minValue="36" maxValue="36"/>
    </cacheField>
    <cacheField name="Supplier Cost per Part" numFmtId="2">
      <sharedItems containsSemiMixedTypes="0" containsString="0" containsNumber="1" containsInteger="1" minValue="165" maxValue="165"/>
    </cacheField>
    <cacheField name="Possible Supplier Income" numFmtId="2">
      <sharedItems containsSemiMixedTypes="0" containsString="0" containsNumber="1" containsInteger="1" minValue="24288" maxValue="39928"/>
    </cacheField>
    <cacheField name="Supplier Cost of Parts" numFmtId="2">
      <sharedItems containsSemiMixedTypes="0" containsString="0" containsNumber="1" containsInteger="1" minValue="21945" maxValue="36960"/>
    </cacheField>
    <cacheField name="Possible Supplier Profit" numFmtId="2">
      <sharedItems containsSemiMixedTypes="0" containsString="0" containsNumber="1" containsInteger="1" minValue="870" maxValue="9538"/>
    </cacheField>
    <cacheField name="Supplier Cost of Bad Parts" numFmtId="2">
      <sharedItems containsSemiMixedTypes="0" containsString="0" containsNumber="1" containsInteger="1" minValue="-6992" maxValue="2760"/>
    </cacheField>
    <cacheField name="Not Inspected Profit $" numFmtId="2">
      <sharedItems containsSemiMixedTypes="0" containsString="0" containsNumber="1" containsInteger="1" minValue="0" maxValue="297648"/>
    </cacheField>
    <cacheField name="Inspectors" numFmtId="0">
      <sharedItems containsSemiMixedTypes="0" containsString="0" containsNumber="1" containsInteger="1" minValue="6" maxValue="8"/>
    </cacheField>
    <cacheField name="Inspectors2" numFmtId="0">
      <sharedItems containsSemiMixedTypes="0" containsString="0" containsNumber="1" containsInteger="1" minValue="5" maxValue="8"/>
    </cacheField>
    <cacheField name="Training" numFmtId="0">
      <sharedItems containsSemiMixedTypes="0" containsString="0" containsNumber="1" containsInteger="1" minValue="0" maxValue="1"/>
    </cacheField>
    <cacheField name="Regular" numFmtId="0">
      <sharedItems containsSemiMixedTypes="0" containsString="0" containsNumber="1" containsInteger="1" minValue="3" maxValue="4"/>
    </cacheField>
    <cacheField name="Casual" numFmtId="0">
      <sharedItems containsSemiMixedTypes="0" containsString="0" containsNumber="1" containsInteger="1" minValue="0" maxValue="3"/>
    </cacheField>
    <cacheField name="Training $" numFmtId="0">
      <sharedItems containsSemiMixedTypes="0" containsString="0" containsNumber="1" minValue="0" maxValue="194.4"/>
    </cacheField>
    <cacheField name="Regular $" numFmtId="0">
      <sharedItems containsSemiMixedTypes="0" containsString="0" containsNumber="1" minValue="842.40000000000009" maxValue="1123.2"/>
    </cacheField>
    <cacheField name="Casual $" numFmtId="0">
      <sharedItems containsSemiMixedTypes="0" containsString="0" containsNumber="1" minValue="0" maxValue="777.59999999999991"/>
    </cacheField>
    <cacheField name="Total Line B $" numFmtId="0">
      <sharedItems containsSemiMixedTypes="0" containsString="0" containsNumber="1" minValue="1641.6" maxValue="1641.6"/>
    </cacheField>
    <cacheField name="Inspect Labour $ per Part" numFmtId="0">
      <sharedItems containsSemiMixedTypes="0" containsString="0" containsNumber="1" minValue="7.3285714285714283" maxValue="12.342857142857142"/>
    </cacheField>
    <cacheField name="Team Lead" numFmtId="0">
      <sharedItems containsSemiMixedTypes="0" containsString="0" containsNumber="1" containsInteger="1" minValue="1" maxValue="2"/>
    </cacheField>
    <cacheField name="Shipper/Receiver/Porter" numFmtId="0">
      <sharedItems containsSemiMixedTypes="0" containsString="0" containsNumber="1" containsInteger="1" minValue="1" maxValue="2"/>
    </cacheField>
    <cacheField name="Team Lead $" numFmtId="0">
      <sharedItems containsSemiMixedTypes="0" containsString="0" containsNumber="1" containsInteger="1" minValue="324" maxValue="648"/>
    </cacheField>
    <cacheField name="Shipper/Receiver/Porter $" numFmtId="0">
      <sharedItems containsSemiMixedTypes="0" containsString="0" containsNumber="1" containsInteger="1" minValue="324" maxValue="648"/>
    </cacheField>
    <cacheField name="All Total Labour $" numFmtId="0">
      <sharedItems containsSemiMixedTypes="0" containsString="0" containsNumber="1" minValue="2613.6" maxValue="2937.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Salvi" refreshedDate="45868.774511805554" createdVersion="8" refreshedVersion="8" minRefreshableVersion="3" recordCount="21" xr:uid="{61906A10-BF1F-3946-837F-49035DD01D98}">
  <cacheSource type="worksheet">
    <worksheetSource ref="B7:AN28" sheet="Line B - Shift 3"/>
  </cacheSource>
  <cacheFields count="39">
    <cacheField name="InspectDataID" numFmtId="0">
      <sharedItems containsSemiMixedTypes="0" containsString="0" containsNumber="1" containsInteger="1" minValue="218" maxValue="246"/>
    </cacheField>
    <cacheField name="Date" numFmtId="14">
      <sharedItems containsSemiMixedTypes="0" containsNonDate="0" containsDate="1" containsString="0" minDate="2024-02-01T00:00:00" maxDate="2024-03-01T00:00:00" count="21">
        <d v="2024-02-01T00:00:00"/>
        <d v="2024-02-02T00:00:00"/>
        <d v="2024-02-03T00:00:00"/>
        <d v="2024-02-06T00:00:00"/>
        <d v="2024-02-07T00:00:00"/>
        <d v="2024-02-08T00:00:00"/>
        <d v="2024-02-09T00:00:00"/>
        <d v="2024-02-10T00:00:00"/>
        <d v="2024-02-13T00:00:00"/>
        <d v="2024-02-14T00:00:00"/>
        <d v="2024-02-15T00:00:00"/>
        <d v="2024-02-16T00:00:00"/>
        <d v="2024-02-17T00:00:00"/>
        <d v="2024-02-20T00:00:00"/>
        <d v="2024-02-21T00:00:00"/>
        <d v="2024-02-22T00:00:00"/>
        <d v="2024-02-23T00:00:00"/>
        <d v="2024-02-24T00:00:00"/>
        <d v="2024-02-27T00:00:00"/>
        <d v="2024-02-28T00:00:00"/>
        <d v="2024-02-29T00:00:00"/>
      </sharedItems>
    </cacheField>
    <cacheField name="Day of Week" numFmtId="0">
      <sharedItems containsSemiMixedTypes="0" containsString="0" containsNumber="1" containsInteger="1" minValue="3" maxValue="7"/>
    </cacheField>
    <cacheField name="Week" numFmtId="0">
      <sharedItems containsSemiMixedTypes="0" containsString="0" containsNumber="1" containsInteger="1" minValue="5" maxValue="9"/>
    </cacheField>
    <cacheField name="Shift" numFmtId="0">
      <sharedItems containsSemiMixedTypes="0" containsString="0" containsNumber="1" containsInteger="1" minValue="3" maxValue="3"/>
    </cacheField>
    <cacheField name="LineB-ProdType" numFmtId="0">
      <sharedItems containsSemiMixedTypes="0" containsString="0" containsNumber="1" containsInteger="1" minValue="105" maxValue="105" count="1">
        <n v="105"/>
      </sharedItems>
    </cacheField>
    <cacheField name="Received" numFmtId="0">
      <sharedItems containsSemiMixedTypes="0" containsString="0" containsNumber="1" containsInteger="1" minValue="134" maxValue="194"/>
    </cacheField>
    <cacheField name="Received Inspected" numFmtId="0">
      <sharedItems containsSemiMixedTypes="0" containsString="0" containsNumber="1" containsInteger="1" minValue="133" maxValue="163"/>
    </cacheField>
    <cacheField name="Leftover Inspected" numFmtId="0">
      <sharedItems containsSemiMixedTypes="0" containsString="0" containsNumber="1" containsInteger="1" minValue="0" maxValue="44"/>
    </cacheField>
    <cacheField name="Capacity" numFmtId="0">
      <sharedItems containsSemiMixedTypes="0" containsString="0" containsNumber="1" containsInteger="1" minValue="162" maxValue="162"/>
    </cacheField>
    <cacheField name="Not Inspected" numFmtId="0">
      <sharedItems containsSemiMixedTypes="0" containsString="0" containsNumber="1" containsInteger="1" minValue="0" maxValue="53"/>
    </cacheField>
    <cacheField name="Left From Day Shift for 3rd Shift" numFmtId="0">
      <sharedItems containsSemiMixedTypes="0" containsString="0" containsNumber="1" containsInteger="1" minValue="0" maxValue="71"/>
    </cacheField>
    <cacheField name="Inspect Pass" numFmtId="0">
      <sharedItems containsSemiMixedTypes="0" containsString="0" containsNumber="1" containsInteger="1" minValue="132" maxValue="174"/>
    </cacheField>
    <cacheField name="Over/Under" numFmtId="0">
      <sharedItems containsSemiMixedTypes="0" containsString="0" containsNumber="1" containsInteger="1" minValue="0" maxValue="38"/>
    </cacheField>
    <cacheField name="Pass%" numFmtId="167">
      <sharedItems containsSemiMixedTypes="0" containsString="0" containsNumber="1" minValue="0.93548387096774188" maxValue="1.2835820895522387"/>
    </cacheField>
    <cacheField name="Supplier Income per Part" numFmtId="2">
      <sharedItems containsSemiMixedTypes="0" containsString="0" containsNumber="1" containsInteger="1" minValue="184" maxValue="184"/>
    </cacheField>
    <cacheField name="Supplier Cost to Make" numFmtId="2">
      <sharedItems containsSemiMixedTypes="0" containsString="0" containsNumber="1" containsInteger="1" minValue="129" maxValue="129"/>
    </cacheField>
    <cacheField name="Supplier Other Cost" numFmtId="2">
      <sharedItems containsSemiMixedTypes="0" containsString="0" containsNumber="1" containsInteger="1" minValue="36" maxValue="36"/>
    </cacheField>
    <cacheField name="Supplier Cost per Part" numFmtId="2">
      <sharedItems containsSemiMixedTypes="0" containsString="0" containsNumber="1" containsInteger="1" minValue="165" maxValue="165"/>
    </cacheField>
    <cacheField name="Possible Supplier Income" numFmtId="2">
      <sharedItems containsSemiMixedTypes="0" containsString="0" containsNumber="1" containsInteger="1" minValue="24288" maxValue="32016"/>
    </cacheField>
    <cacheField name="Supplier Cost of Parts" numFmtId="2">
      <sharedItems containsSemiMixedTypes="0" containsString="0" containsNumber="1" containsInteger="1" minValue="21945" maxValue="26895"/>
    </cacheField>
    <cacheField name="Possible Supplier Profit" numFmtId="2">
      <sharedItems containsSemiMixedTypes="0" containsString="0" containsNumber="1" containsInteger="1" minValue="1105" maxValue="9538"/>
    </cacheField>
    <cacheField name="Supplier Cost of Bad Parts" numFmtId="2">
      <sharedItems containsSemiMixedTypes="0" containsString="0" containsNumber="1" containsInteger="1" minValue="-6992" maxValue="1840"/>
    </cacheField>
    <cacheField name="Not Inspected Profit $" numFmtId="2">
      <sharedItems containsSemiMixedTypes="0" containsString="0" containsNumber="1" containsInteger="1" minValue="0" maxValue="297648"/>
    </cacheField>
    <cacheField name="Inspectors" numFmtId="0">
      <sharedItems containsSemiMixedTypes="0" containsString="0" containsNumber="1" containsInteger="1" minValue="6" maxValue="6"/>
    </cacheField>
    <cacheField name="Inspectors2" numFmtId="0">
      <sharedItems containsSemiMixedTypes="0" containsString="0" containsNumber="1" containsInteger="1" minValue="5" maxValue="6"/>
    </cacheField>
    <cacheField name="Training" numFmtId="0">
      <sharedItems containsSemiMixedTypes="0" containsString="0" containsNumber="1" containsInteger="1" minValue="0" maxValue="0"/>
    </cacheField>
    <cacheField name="Regular" numFmtId="0">
      <sharedItems containsSemiMixedTypes="0" containsString="0" containsNumber="1" containsInteger="1" minValue="3" maxValue="4"/>
    </cacheField>
    <cacheField name="Casual" numFmtId="0">
      <sharedItems containsSemiMixedTypes="0" containsString="0" containsNumber="1" containsInteger="1" minValue="0" maxValue="1"/>
    </cacheField>
    <cacheField name="Training $" numFmtId="0">
      <sharedItems containsSemiMixedTypes="0" containsString="0" containsNumber="1" containsInteger="1" minValue="0" maxValue="0"/>
    </cacheField>
    <cacheField name="Regular $" numFmtId="0">
      <sharedItems containsSemiMixedTypes="0" containsString="0" containsNumber="1" minValue="842.40000000000009" maxValue="1123.2"/>
    </cacheField>
    <cacheField name="Casual $" numFmtId="0">
      <sharedItems containsSemiMixedTypes="0" containsString="0" containsNumber="1" minValue="0" maxValue="259.2"/>
    </cacheField>
    <cacheField name="Total Line B $" numFmtId="0">
      <sharedItems/>
    </cacheField>
    <cacheField name="Inspect Labour $ per Part" numFmtId="0">
      <sharedItems/>
    </cacheField>
    <cacheField name="Team Lead" numFmtId="0">
      <sharedItems containsSemiMixedTypes="0" containsString="0" containsNumber="1" containsInteger="1" minValue="2" maxValue="2"/>
    </cacheField>
    <cacheField name="Shipper/Receiver/Porter" numFmtId="0">
      <sharedItems containsSemiMixedTypes="0" containsString="0" containsNumber="1" containsInteger="1" minValue="1" maxValue="1"/>
    </cacheField>
    <cacheField name="Team Lead $" numFmtId="0">
      <sharedItems containsSemiMixedTypes="0" containsString="0" containsNumber="1" containsInteger="1" minValue="648" maxValue="648"/>
    </cacheField>
    <cacheField name="Shipper/Receiver/Porter $" numFmtId="0">
      <sharedItems containsSemiMixedTypes="0" containsString="0" containsNumber="1" containsInteger="1" minValue="324" maxValue="324"/>
    </cacheField>
    <cacheField name="All Total Labour $"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n v="160"/>
    <x v="0"/>
    <n v="5"/>
    <x v="0"/>
    <x v="0"/>
    <x v="0"/>
    <n v="194"/>
    <n v="194"/>
    <n v="0"/>
    <n v="216"/>
    <n v="0"/>
    <n v="0"/>
    <n v="180"/>
    <n v="0"/>
    <n v="0.92783505154639179"/>
    <n v="184"/>
    <n v="129"/>
    <n v="36"/>
    <n v="165"/>
    <n v="33120"/>
    <n v="32010"/>
    <n v="1110"/>
    <n v="2576"/>
    <n v="0"/>
    <n v="8"/>
    <n v="8"/>
    <n v="0"/>
    <n v="4"/>
    <n v="2"/>
    <n v="0"/>
    <n v="1123.2"/>
    <n v="518.4"/>
    <n v="1641.6"/>
    <n v="8.4618556701030929"/>
    <n v="2"/>
    <n v="2"/>
    <n v="648"/>
    <n v="648"/>
    <n v="2937.6"/>
  </r>
  <r>
    <n v="161"/>
    <x v="1"/>
    <n v="6"/>
    <x v="0"/>
    <x v="0"/>
    <x v="0"/>
    <n v="213"/>
    <n v="205"/>
    <n v="0"/>
    <n v="216"/>
    <n v="8"/>
    <n v="0"/>
    <n v="190"/>
    <n v="8"/>
    <n v="0.92682926829268297"/>
    <n v="184"/>
    <n v="129"/>
    <n v="36"/>
    <n v="165"/>
    <n v="34960"/>
    <n v="33825"/>
    <n v="1135"/>
    <n v="2760"/>
    <n v="9080"/>
    <n v="8"/>
    <n v="8"/>
    <n v="0"/>
    <n v="4"/>
    <n v="2"/>
    <n v="0"/>
    <n v="1123.2"/>
    <n v="518.4"/>
    <n v="1641.6"/>
    <n v="8.0078048780487805"/>
    <n v="2"/>
    <n v="2"/>
    <n v="648"/>
    <n v="648"/>
    <n v="2937.6"/>
  </r>
  <r>
    <n v="162"/>
    <x v="2"/>
    <n v="7"/>
    <x v="0"/>
    <x v="0"/>
    <x v="0"/>
    <n v="259"/>
    <n v="218"/>
    <n v="0"/>
    <n v="216"/>
    <n v="41"/>
    <n v="0"/>
    <n v="209"/>
    <n v="41"/>
    <n v="0.95871559633027525"/>
    <n v="184"/>
    <n v="129"/>
    <n v="36"/>
    <n v="165"/>
    <n v="38456"/>
    <n v="35970"/>
    <n v="2486"/>
    <n v="1656"/>
    <n v="101926"/>
    <n v="8"/>
    <n v="8"/>
    <n v="1"/>
    <n v="3"/>
    <n v="3"/>
    <n v="194.4"/>
    <n v="842.40000000000009"/>
    <n v="777.59999999999991"/>
    <n v="1641.6"/>
    <n v="7.5302752293577981"/>
    <n v="1"/>
    <n v="2"/>
    <n v="324"/>
    <n v="648"/>
    <n v="2613.6"/>
  </r>
  <r>
    <n v="165"/>
    <x v="3"/>
    <n v="3"/>
    <x v="1"/>
    <x v="0"/>
    <x v="0"/>
    <n v="181"/>
    <n v="181"/>
    <n v="0"/>
    <n v="216"/>
    <n v="0"/>
    <n v="0"/>
    <n v="171"/>
    <n v="0"/>
    <n v="0.94475138121546964"/>
    <n v="184"/>
    <n v="129"/>
    <n v="36"/>
    <n v="165"/>
    <n v="31464"/>
    <n v="29865"/>
    <n v="1599"/>
    <n v="1840"/>
    <n v="0"/>
    <n v="8"/>
    <n v="8"/>
    <n v="0"/>
    <n v="3"/>
    <n v="3"/>
    <n v="0"/>
    <n v="842.40000000000009"/>
    <n v="777.59999999999991"/>
    <n v="1641.6"/>
    <n v="9.0696132596685075"/>
    <n v="2"/>
    <n v="2"/>
    <n v="648"/>
    <n v="648"/>
    <n v="2937.6"/>
  </r>
  <r>
    <n v="166"/>
    <x v="4"/>
    <n v="4"/>
    <x v="1"/>
    <x v="0"/>
    <x v="0"/>
    <n v="233"/>
    <n v="207"/>
    <n v="0"/>
    <n v="216"/>
    <n v="26"/>
    <n v="0"/>
    <n v="192"/>
    <n v="26"/>
    <n v="0.92753623188405798"/>
    <n v="184"/>
    <n v="129"/>
    <n v="36"/>
    <n v="165"/>
    <n v="35328"/>
    <n v="34155"/>
    <n v="1173"/>
    <n v="2760"/>
    <n v="30498"/>
    <n v="8"/>
    <n v="8"/>
    <n v="0"/>
    <n v="4"/>
    <n v="2"/>
    <n v="0"/>
    <n v="1123.2"/>
    <n v="518.4"/>
    <n v="1641.6"/>
    <n v="7.9304347826086952"/>
    <n v="2"/>
    <n v="2"/>
    <n v="648"/>
    <n v="648"/>
    <n v="2937.6"/>
  </r>
  <r>
    <n v="167"/>
    <x v="5"/>
    <n v="5"/>
    <x v="1"/>
    <x v="0"/>
    <x v="0"/>
    <n v="203"/>
    <n v="186"/>
    <n v="0"/>
    <n v="216"/>
    <n v="17"/>
    <n v="0"/>
    <n v="182"/>
    <n v="17"/>
    <n v="0.978494623655914"/>
    <n v="184"/>
    <n v="129"/>
    <n v="36"/>
    <n v="165"/>
    <n v="33488"/>
    <n v="30690"/>
    <n v="2798"/>
    <n v="736"/>
    <n v="47566"/>
    <n v="8"/>
    <n v="7"/>
    <n v="1"/>
    <n v="3"/>
    <n v="1"/>
    <n v="194.4"/>
    <n v="842.40000000000009"/>
    <n v="259.2"/>
    <n v="1641.6"/>
    <n v="8.8258064516129036"/>
    <n v="2"/>
    <n v="2"/>
    <n v="648"/>
    <n v="648"/>
    <n v="2937.6"/>
  </r>
  <r>
    <n v="168"/>
    <x v="6"/>
    <n v="6"/>
    <x v="1"/>
    <x v="0"/>
    <x v="0"/>
    <n v="216"/>
    <n v="211"/>
    <n v="0"/>
    <n v="216"/>
    <n v="5"/>
    <n v="0"/>
    <n v="202"/>
    <n v="5"/>
    <n v="0.95734597156398105"/>
    <n v="184"/>
    <n v="129"/>
    <n v="36"/>
    <n v="165"/>
    <n v="37168"/>
    <n v="34815"/>
    <n v="2353"/>
    <n v="1656"/>
    <n v="11765"/>
    <n v="8"/>
    <n v="8"/>
    <n v="0"/>
    <n v="4"/>
    <n v="2"/>
    <n v="0"/>
    <n v="1123.2"/>
    <n v="518.4"/>
    <n v="1641.6"/>
    <n v="7.7800947867298573"/>
    <n v="2"/>
    <n v="2"/>
    <n v="648"/>
    <n v="648"/>
    <n v="2937.6"/>
  </r>
  <r>
    <n v="169"/>
    <x v="7"/>
    <n v="7"/>
    <x v="1"/>
    <x v="0"/>
    <x v="0"/>
    <n v="194"/>
    <n v="170"/>
    <n v="0"/>
    <n v="216"/>
    <n v="24"/>
    <n v="0"/>
    <n v="164"/>
    <n v="24"/>
    <n v="0.96470588235294119"/>
    <n v="184"/>
    <n v="129"/>
    <n v="36"/>
    <n v="165"/>
    <n v="30176"/>
    <n v="28050"/>
    <n v="2126"/>
    <n v="1104"/>
    <n v="51024"/>
    <n v="8"/>
    <n v="7"/>
    <n v="1"/>
    <n v="3"/>
    <n v="1"/>
    <n v="194.4"/>
    <n v="842.40000000000009"/>
    <n v="259.2"/>
    <n v="1641.6"/>
    <n v="9.6564705882352939"/>
    <n v="2"/>
    <n v="2"/>
    <n v="648"/>
    <n v="648"/>
    <n v="2937.6"/>
  </r>
  <r>
    <n v="172"/>
    <x v="8"/>
    <n v="3"/>
    <x v="2"/>
    <x v="0"/>
    <x v="0"/>
    <n v="209"/>
    <n v="207"/>
    <n v="0"/>
    <n v="216"/>
    <n v="2"/>
    <n v="0"/>
    <n v="200"/>
    <n v="2"/>
    <n v="0.96618357487922701"/>
    <n v="184"/>
    <n v="129"/>
    <n v="36"/>
    <n v="165"/>
    <n v="36800"/>
    <n v="34155"/>
    <n v="2645"/>
    <n v="1288"/>
    <n v="5290"/>
    <n v="8"/>
    <n v="8"/>
    <n v="0"/>
    <n v="3"/>
    <n v="3"/>
    <n v="0"/>
    <n v="842.40000000000009"/>
    <n v="777.59999999999991"/>
    <n v="1641.6"/>
    <n v="7.9304347826086952"/>
    <n v="2"/>
    <n v="2"/>
    <n v="648"/>
    <n v="648"/>
    <n v="2937.6"/>
  </r>
  <r>
    <n v="173"/>
    <x v="9"/>
    <n v="4"/>
    <x v="2"/>
    <x v="0"/>
    <x v="0"/>
    <n v="203"/>
    <n v="203"/>
    <n v="0"/>
    <n v="216"/>
    <n v="0"/>
    <n v="0"/>
    <n v="188"/>
    <n v="0"/>
    <n v="0.92610837438423643"/>
    <n v="184"/>
    <n v="129"/>
    <n v="36"/>
    <n v="165"/>
    <n v="34592"/>
    <n v="33495"/>
    <n v="1097"/>
    <n v="2760"/>
    <n v="0"/>
    <n v="8"/>
    <n v="8"/>
    <n v="0"/>
    <n v="3"/>
    <n v="3"/>
    <n v="0"/>
    <n v="842.40000000000009"/>
    <n v="777.59999999999991"/>
    <n v="1641.6"/>
    <n v="8.086699507389163"/>
    <n v="2"/>
    <n v="2"/>
    <n v="648"/>
    <n v="648"/>
    <n v="2937.6"/>
  </r>
  <r>
    <n v="174"/>
    <x v="10"/>
    <n v="5"/>
    <x v="2"/>
    <x v="0"/>
    <x v="0"/>
    <n v="187"/>
    <n v="187"/>
    <n v="0"/>
    <n v="216"/>
    <n v="0"/>
    <n v="0"/>
    <n v="181"/>
    <n v="0"/>
    <n v="0.96791443850267378"/>
    <n v="184"/>
    <n v="129"/>
    <n v="36"/>
    <n v="165"/>
    <n v="33304"/>
    <n v="30855"/>
    <n v="2449"/>
    <n v="1104"/>
    <n v="0"/>
    <n v="8"/>
    <n v="8"/>
    <n v="1"/>
    <n v="4"/>
    <n v="1"/>
    <n v="194.4"/>
    <n v="1123.2"/>
    <n v="259.2"/>
    <n v="1641.6"/>
    <n v="8.778609625668448"/>
    <n v="2"/>
    <n v="2"/>
    <n v="648"/>
    <n v="648"/>
    <n v="2937.6"/>
  </r>
  <r>
    <n v="175"/>
    <x v="11"/>
    <n v="6"/>
    <x v="2"/>
    <x v="0"/>
    <x v="0"/>
    <n v="177"/>
    <n v="177"/>
    <n v="0"/>
    <n v="216"/>
    <n v="0"/>
    <n v="0"/>
    <n v="171"/>
    <n v="0"/>
    <n v="0.96610169491525422"/>
    <n v="184"/>
    <n v="129"/>
    <n v="36"/>
    <n v="165"/>
    <n v="31464"/>
    <n v="29205"/>
    <n v="2259"/>
    <n v="1104"/>
    <n v="0"/>
    <n v="8"/>
    <n v="8"/>
    <n v="0"/>
    <n v="4"/>
    <n v="2"/>
    <n v="0"/>
    <n v="1123.2"/>
    <n v="518.4"/>
    <n v="1641.6"/>
    <n v="9.2745762711864401"/>
    <n v="2"/>
    <n v="2"/>
    <n v="648"/>
    <n v="648"/>
    <n v="2937.6"/>
  </r>
  <r>
    <n v="176"/>
    <x v="12"/>
    <n v="7"/>
    <x v="2"/>
    <x v="0"/>
    <x v="0"/>
    <n v="250"/>
    <n v="207"/>
    <n v="0"/>
    <n v="216"/>
    <n v="43"/>
    <n v="0"/>
    <n v="194"/>
    <n v="43"/>
    <n v="0.9371980676328503"/>
    <n v="184"/>
    <n v="129"/>
    <n v="36"/>
    <n v="165"/>
    <n v="35696"/>
    <n v="34155"/>
    <n v="1541"/>
    <n v="2392"/>
    <n v="66263"/>
    <n v="8"/>
    <n v="8"/>
    <n v="0"/>
    <n v="3"/>
    <n v="3"/>
    <n v="0"/>
    <n v="842.40000000000009"/>
    <n v="777.59999999999991"/>
    <n v="1641.6"/>
    <n v="7.9304347826086952"/>
    <n v="2"/>
    <n v="2"/>
    <n v="648"/>
    <n v="648"/>
    <n v="2937.6"/>
  </r>
  <r>
    <n v="179"/>
    <x v="13"/>
    <n v="3"/>
    <x v="3"/>
    <x v="0"/>
    <x v="0"/>
    <n v="222"/>
    <n v="179"/>
    <n v="0"/>
    <n v="216"/>
    <n v="43"/>
    <n v="0"/>
    <n v="168"/>
    <n v="43"/>
    <n v="0.93854748603351956"/>
    <n v="184"/>
    <n v="129"/>
    <n v="36"/>
    <n v="165"/>
    <n v="30912"/>
    <n v="29535"/>
    <n v="1377"/>
    <n v="2024"/>
    <n v="59211"/>
    <n v="8"/>
    <n v="7"/>
    <n v="0"/>
    <n v="4"/>
    <n v="1"/>
    <n v="0"/>
    <n v="1123.2"/>
    <n v="259.2"/>
    <n v="1641.6"/>
    <n v="9.1709497206703912"/>
    <n v="2"/>
    <n v="2"/>
    <n v="648"/>
    <n v="648"/>
    <n v="2937.6"/>
  </r>
  <r>
    <n v="180"/>
    <x v="14"/>
    <n v="4"/>
    <x v="3"/>
    <x v="0"/>
    <x v="0"/>
    <n v="226"/>
    <n v="224"/>
    <n v="0"/>
    <n v="216"/>
    <n v="2"/>
    <n v="0"/>
    <n v="217"/>
    <n v="2"/>
    <n v="0.96875"/>
    <n v="184"/>
    <n v="129"/>
    <n v="36"/>
    <n v="165"/>
    <n v="39928"/>
    <n v="36960"/>
    <n v="2968"/>
    <n v="1288"/>
    <n v="5936"/>
    <n v="8"/>
    <n v="8"/>
    <n v="0"/>
    <n v="3"/>
    <n v="3"/>
    <n v="0"/>
    <n v="842.40000000000009"/>
    <n v="777.59999999999991"/>
    <n v="1641.6"/>
    <n v="7.3285714285714283"/>
    <n v="2"/>
    <n v="2"/>
    <n v="648"/>
    <n v="648"/>
    <n v="2937.6"/>
  </r>
  <r>
    <n v="181"/>
    <x v="15"/>
    <n v="5"/>
    <x v="3"/>
    <x v="0"/>
    <x v="0"/>
    <n v="218"/>
    <n v="216"/>
    <n v="0"/>
    <n v="216"/>
    <n v="2"/>
    <n v="0"/>
    <n v="205"/>
    <n v="2"/>
    <n v="0.94907407407407407"/>
    <n v="184"/>
    <n v="129"/>
    <n v="36"/>
    <n v="165"/>
    <n v="37720"/>
    <n v="35640"/>
    <n v="2080"/>
    <n v="2024"/>
    <n v="4160"/>
    <n v="8"/>
    <n v="8"/>
    <n v="0"/>
    <n v="4"/>
    <n v="2"/>
    <n v="0"/>
    <n v="1123.2"/>
    <n v="518.4"/>
    <n v="1641.6"/>
    <n v="7.6"/>
    <n v="2"/>
    <n v="2"/>
    <n v="648"/>
    <n v="648"/>
    <n v="2937.6"/>
  </r>
  <r>
    <n v="182"/>
    <x v="16"/>
    <n v="6"/>
    <x v="3"/>
    <x v="0"/>
    <x v="0"/>
    <n v="194"/>
    <n v="194"/>
    <n v="0"/>
    <n v="216"/>
    <n v="0"/>
    <n v="0"/>
    <n v="180"/>
    <n v="0"/>
    <n v="0.92783505154639179"/>
    <n v="184"/>
    <n v="129"/>
    <n v="36"/>
    <n v="165"/>
    <n v="33120"/>
    <n v="32010"/>
    <n v="1110"/>
    <n v="2576"/>
    <n v="0"/>
    <n v="8"/>
    <n v="8"/>
    <n v="0"/>
    <n v="3"/>
    <n v="3"/>
    <n v="0"/>
    <n v="842.40000000000009"/>
    <n v="777.59999999999991"/>
    <n v="1641.6"/>
    <n v="8.4618556701030929"/>
    <n v="2"/>
    <n v="2"/>
    <n v="648"/>
    <n v="648"/>
    <n v="2937.6"/>
  </r>
  <r>
    <n v="183"/>
    <x v="17"/>
    <n v="7"/>
    <x v="3"/>
    <x v="0"/>
    <x v="0"/>
    <n v="252"/>
    <n v="222"/>
    <n v="0"/>
    <n v="216"/>
    <n v="30"/>
    <n v="0"/>
    <n v="215"/>
    <n v="30"/>
    <n v="0.96846846846846846"/>
    <n v="184"/>
    <n v="129"/>
    <n v="36"/>
    <n v="165"/>
    <n v="39560"/>
    <n v="36630"/>
    <n v="2930"/>
    <n v="1288"/>
    <n v="87900"/>
    <n v="8"/>
    <n v="8"/>
    <n v="0"/>
    <n v="3"/>
    <n v="3"/>
    <n v="0"/>
    <n v="842.40000000000009"/>
    <n v="777.59999999999991"/>
    <n v="1641.6"/>
    <n v="7.3945945945945946"/>
    <n v="2"/>
    <n v="2"/>
    <n v="648"/>
    <n v="648"/>
    <n v="2937.6"/>
  </r>
  <r>
    <n v="186"/>
    <x v="18"/>
    <n v="3"/>
    <x v="4"/>
    <x v="0"/>
    <x v="0"/>
    <n v="211"/>
    <n v="209"/>
    <n v="0"/>
    <n v="216"/>
    <n v="2"/>
    <n v="0"/>
    <n v="202"/>
    <n v="2"/>
    <n v="0.96650717703349287"/>
    <n v="184"/>
    <n v="129"/>
    <n v="36"/>
    <n v="165"/>
    <n v="37168"/>
    <n v="34485"/>
    <n v="2683"/>
    <n v="1288"/>
    <n v="5366"/>
    <n v="8"/>
    <n v="8"/>
    <n v="0"/>
    <n v="4"/>
    <n v="2"/>
    <n v="0"/>
    <n v="1123.2"/>
    <n v="518.4"/>
    <n v="1641.6"/>
    <n v="7.8545454545454545"/>
    <n v="2"/>
    <n v="2"/>
    <n v="648"/>
    <n v="648"/>
    <n v="2937.6"/>
  </r>
  <r>
    <n v="187"/>
    <x v="19"/>
    <n v="4"/>
    <x v="4"/>
    <x v="0"/>
    <x v="0"/>
    <n v="190"/>
    <n v="190"/>
    <n v="0"/>
    <n v="216"/>
    <n v="0"/>
    <n v="0"/>
    <n v="176"/>
    <n v="0"/>
    <n v="0.9263157894736842"/>
    <n v="184"/>
    <n v="129"/>
    <n v="36"/>
    <n v="165"/>
    <n v="32384"/>
    <n v="31350"/>
    <n v="1034"/>
    <n v="2576"/>
    <n v="0"/>
    <n v="8"/>
    <n v="8"/>
    <n v="0"/>
    <n v="3"/>
    <n v="3"/>
    <n v="0"/>
    <n v="842.40000000000009"/>
    <n v="777.59999999999991"/>
    <n v="1641.6"/>
    <n v="8.6399999999999988"/>
    <n v="2"/>
    <n v="2"/>
    <n v="648"/>
    <n v="648"/>
    <n v="2937.6"/>
  </r>
  <r>
    <n v="188"/>
    <x v="20"/>
    <n v="5"/>
    <x v="4"/>
    <x v="0"/>
    <x v="0"/>
    <n v="205"/>
    <n v="205"/>
    <n v="0"/>
    <n v="216"/>
    <n v="0"/>
    <n v="0"/>
    <n v="200"/>
    <n v="0"/>
    <n v="0.97560975609756095"/>
    <n v="184"/>
    <n v="129"/>
    <n v="36"/>
    <n v="165"/>
    <n v="36800"/>
    <n v="33825"/>
    <n v="2975"/>
    <n v="920"/>
    <n v="0"/>
    <n v="8"/>
    <n v="8"/>
    <n v="0"/>
    <n v="3"/>
    <n v="3"/>
    <n v="0"/>
    <n v="842.40000000000009"/>
    <n v="777.59999999999991"/>
    <n v="1641.6"/>
    <n v="8.0078048780487805"/>
    <n v="2"/>
    <n v="2"/>
    <n v="648"/>
    <n v="648"/>
    <n v="2937.6"/>
  </r>
  <r>
    <n v="189"/>
    <x v="0"/>
    <n v="5"/>
    <x v="0"/>
    <x v="1"/>
    <x v="0"/>
    <n v="166"/>
    <n v="166"/>
    <n v="0"/>
    <n v="189"/>
    <n v="0"/>
    <n v="0"/>
    <n v="159"/>
    <n v="0"/>
    <n v="0.95783132530120485"/>
    <n v="184"/>
    <n v="129"/>
    <n v="36"/>
    <n v="165"/>
    <n v="29256"/>
    <n v="27390"/>
    <n v="1866"/>
    <n v="1288"/>
    <n v="0"/>
    <n v="7"/>
    <n v="7"/>
    <n v="1"/>
    <n v="4"/>
    <n v="0"/>
    <n v="194.4"/>
    <n v="1123.2"/>
    <n v="0"/>
    <n v="1641.6"/>
    <n v="9.8891566265060238"/>
    <n v="2"/>
    <n v="2"/>
    <n v="648"/>
    <n v="648"/>
    <n v="2937.6"/>
  </r>
  <r>
    <n v="190"/>
    <x v="1"/>
    <n v="6"/>
    <x v="0"/>
    <x v="1"/>
    <x v="0"/>
    <n v="207"/>
    <n v="190"/>
    <n v="0"/>
    <n v="189"/>
    <n v="17"/>
    <n v="0"/>
    <n v="176"/>
    <n v="17"/>
    <n v="0.9263157894736842"/>
    <n v="184"/>
    <n v="129"/>
    <n v="36"/>
    <n v="165"/>
    <n v="32384"/>
    <n v="31350"/>
    <n v="1034"/>
    <n v="2576"/>
    <n v="17578"/>
    <n v="7"/>
    <n v="7"/>
    <n v="0"/>
    <n v="4"/>
    <n v="1"/>
    <n v="0"/>
    <n v="1123.2"/>
    <n v="259.2"/>
    <n v="1641.6"/>
    <n v="8.6399999999999988"/>
    <n v="2"/>
    <n v="2"/>
    <n v="648"/>
    <n v="648"/>
    <n v="2937.6"/>
  </r>
  <r>
    <n v="191"/>
    <x v="2"/>
    <n v="7"/>
    <x v="0"/>
    <x v="1"/>
    <x v="0"/>
    <n v="151"/>
    <n v="151"/>
    <n v="0"/>
    <n v="189"/>
    <n v="0"/>
    <n v="0"/>
    <n v="141"/>
    <n v="0"/>
    <n v="0.93377483443708609"/>
    <n v="184"/>
    <n v="129"/>
    <n v="36"/>
    <n v="165"/>
    <n v="25944"/>
    <n v="24915"/>
    <n v="1029"/>
    <n v="1840"/>
    <n v="0"/>
    <n v="7"/>
    <n v="6"/>
    <n v="0"/>
    <n v="4"/>
    <n v="0"/>
    <n v="0"/>
    <n v="1123.2"/>
    <n v="0"/>
    <n v="1641.6"/>
    <n v="10.871523178807946"/>
    <n v="2"/>
    <n v="2"/>
    <n v="648"/>
    <n v="648"/>
    <n v="2937.6"/>
  </r>
  <r>
    <n v="194"/>
    <x v="3"/>
    <n v="3"/>
    <x v="1"/>
    <x v="1"/>
    <x v="0"/>
    <n v="154"/>
    <n v="154"/>
    <n v="0"/>
    <n v="189"/>
    <n v="0"/>
    <n v="0"/>
    <n v="147"/>
    <n v="0"/>
    <n v="0.95454545454545459"/>
    <n v="184"/>
    <n v="129"/>
    <n v="36"/>
    <n v="165"/>
    <n v="27048"/>
    <n v="25410"/>
    <n v="1638"/>
    <n v="1288"/>
    <n v="0"/>
    <n v="7"/>
    <n v="7"/>
    <n v="0"/>
    <n v="3"/>
    <n v="2"/>
    <n v="0"/>
    <n v="842.40000000000009"/>
    <n v="518.4"/>
    <n v="1641.6"/>
    <n v="10.659740259740259"/>
    <n v="2"/>
    <n v="2"/>
    <n v="648"/>
    <n v="648"/>
    <n v="2937.6"/>
  </r>
  <r>
    <n v="195"/>
    <x v="4"/>
    <n v="4"/>
    <x v="1"/>
    <x v="1"/>
    <x v="0"/>
    <n v="207"/>
    <n v="162"/>
    <n v="0"/>
    <n v="189"/>
    <n v="45"/>
    <n v="0"/>
    <n v="153"/>
    <n v="45"/>
    <n v="0.94444444444444442"/>
    <n v="184"/>
    <n v="129"/>
    <n v="36"/>
    <n v="165"/>
    <n v="28152"/>
    <n v="26730"/>
    <n v="1422"/>
    <n v="1656"/>
    <n v="63990"/>
    <n v="7"/>
    <n v="6"/>
    <n v="0"/>
    <n v="4"/>
    <n v="0"/>
    <n v="0"/>
    <n v="1123.2"/>
    <n v="0"/>
    <n v="1641.6"/>
    <n v="10.133333333333333"/>
    <n v="2"/>
    <n v="2"/>
    <n v="648"/>
    <n v="648"/>
    <n v="2937.6"/>
  </r>
  <r>
    <n v="196"/>
    <x v="5"/>
    <n v="5"/>
    <x v="1"/>
    <x v="1"/>
    <x v="0"/>
    <n v="198"/>
    <n v="179"/>
    <n v="0"/>
    <n v="189"/>
    <n v="19"/>
    <n v="0"/>
    <n v="166"/>
    <n v="19"/>
    <n v="0.92737430167597767"/>
    <n v="184"/>
    <n v="129"/>
    <n v="36"/>
    <n v="165"/>
    <n v="30544"/>
    <n v="29535"/>
    <n v="1009"/>
    <n v="2392"/>
    <n v="19171"/>
    <n v="7"/>
    <n v="7"/>
    <n v="1"/>
    <n v="3"/>
    <n v="1"/>
    <n v="194.4"/>
    <n v="842.40000000000009"/>
    <n v="259.2"/>
    <n v="1641.6"/>
    <n v="9.1709497206703912"/>
    <n v="2"/>
    <n v="2"/>
    <n v="648"/>
    <n v="648"/>
    <n v="2937.6"/>
  </r>
  <r>
    <n v="197"/>
    <x v="6"/>
    <n v="6"/>
    <x v="1"/>
    <x v="1"/>
    <x v="0"/>
    <n v="211"/>
    <n v="183"/>
    <n v="0"/>
    <n v="189"/>
    <n v="28"/>
    <n v="0"/>
    <n v="170"/>
    <n v="28"/>
    <n v="0.92896174863387981"/>
    <n v="184"/>
    <n v="129"/>
    <n v="36"/>
    <n v="165"/>
    <n v="31280"/>
    <n v="30195"/>
    <n v="1085"/>
    <n v="2392"/>
    <n v="30380"/>
    <n v="7"/>
    <n v="7"/>
    <n v="0"/>
    <n v="3"/>
    <n v="2"/>
    <n v="0"/>
    <n v="842.40000000000009"/>
    <n v="518.4"/>
    <n v="1641.6"/>
    <n v="8.9704918032786889"/>
    <n v="2"/>
    <n v="2"/>
    <n v="648"/>
    <n v="648"/>
    <n v="2937.6"/>
  </r>
  <r>
    <n v="198"/>
    <x v="7"/>
    <n v="7"/>
    <x v="1"/>
    <x v="1"/>
    <x v="0"/>
    <n v="181"/>
    <n v="181"/>
    <n v="0"/>
    <n v="189"/>
    <n v="0"/>
    <n v="0"/>
    <n v="168"/>
    <n v="0"/>
    <n v="0.92817679558011046"/>
    <n v="184"/>
    <n v="129"/>
    <n v="36"/>
    <n v="165"/>
    <n v="30912"/>
    <n v="29865"/>
    <n v="1047"/>
    <n v="2392"/>
    <n v="0"/>
    <n v="7"/>
    <n v="7"/>
    <n v="1"/>
    <n v="4"/>
    <n v="0"/>
    <n v="194.4"/>
    <n v="1123.2"/>
    <n v="0"/>
    <n v="1641.6"/>
    <n v="9.0696132596685075"/>
    <n v="2"/>
    <n v="2"/>
    <n v="648"/>
    <n v="648"/>
    <n v="2937.6"/>
  </r>
  <r>
    <n v="201"/>
    <x v="8"/>
    <n v="3"/>
    <x v="2"/>
    <x v="1"/>
    <x v="0"/>
    <n v="183"/>
    <n v="183"/>
    <n v="0"/>
    <n v="189"/>
    <n v="0"/>
    <n v="0"/>
    <n v="179"/>
    <n v="0"/>
    <n v="0.97814207650273222"/>
    <n v="184"/>
    <n v="129"/>
    <n v="36"/>
    <n v="165"/>
    <n v="32936"/>
    <n v="30195"/>
    <n v="2741"/>
    <n v="736"/>
    <n v="0"/>
    <n v="7"/>
    <n v="7"/>
    <n v="0"/>
    <n v="4"/>
    <n v="2"/>
    <n v="0"/>
    <n v="1123.2"/>
    <n v="518.4"/>
    <n v="1641.6"/>
    <n v="8.9704918032786889"/>
    <n v="1"/>
    <n v="2"/>
    <n v="324"/>
    <n v="648"/>
    <n v="2613.6"/>
  </r>
  <r>
    <n v="202"/>
    <x v="9"/>
    <n v="4"/>
    <x v="2"/>
    <x v="1"/>
    <x v="0"/>
    <n v="223"/>
    <n v="194"/>
    <n v="0"/>
    <n v="189"/>
    <n v="29"/>
    <n v="0"/>
    <n v="184"/>
    <n v="29"/>
    <n v="0.94845360824742264"/>
    <n v="184"/>
    <n v="129"/>
    <n v="36"/>
    <n v="165"/>
    <n v="33856"/>
    <n v="32010"/>
    <n v="1846"/>
    <n v="1840"/>
    <n v="53534"/>
    <n v="7"/>
    <n v="7"/>
    <n v="0"/>
    <n v="3"/>
    <n v="2"/>
    <n v="0"/>
    <n v="842.40000000000009"/>
    <n v="518.4"/>
    <n v="1641.6"/>
    <n v="8.4618556701030929"/>
    <n v="2"/>
    <n v="2"/>
    <n v="648"/>
    <n v="648"/>
    <n v="2937.6"/>
  </r>
  <r>
    <n v="203"/>
    <x v="10"/>
    <n v="5"/>
    <x v="2"/>
    <x v="1"/>
    <x v="0"/>
    <n v="162"/>
    <n v="162"/>
    <n v="0"/>
    <n v="189"/>
    <n v="0"/>
    <n v="0"/>
    <n v="157"/>
    <n v="0"/>
    <n v="0.96913580246913578"/>
    <n v="184"/>
    <n v="129"/>
    <n v="36"/>
    <n v="165"/>
    <n v="28888"/>
    <n v="26730"/>
    <n v="2158"/>
    <n v="920"/>
    <n v="0"/>
    <n v="7"/>
    <n v="7"/>
    <n v="0"/>
    <n v="3"/>
    <n v="2"/>
    <n v="0"/>
    <n v="842.40000000000009"/>
    <n v="518.4"/>
    <n v="1641.6"/>
    <n v="10.133333333333333"/>
    <n v="2"/>
    <n v="2"/>
    <n v="648"/>
    <n v="648"/>
    <n v="2937.6"/>
  </r>
  <r>
    <n v="204"/>
    <x v="11"/>
    <n v="6"/>
    <x v="2"/>
    <x v="1"/>
    <x v="0"/>
    <n v="175"/>
    <n v="175"/>
    <n v="0"/>
    <n v="189"/>
    <n v="0"/>
    <n v="0"/>
    <n v="168"/>
    <n v="0"/>
    <n v="0.96"/>
    <n v="184"/>
    <n v="129"/>
    <n v="36"/>
    <n v="165"/>
    <n v="30912"/>
    <n v="28875"/>
    <n v="2037"/>
    <n v="1288"/>
    <n v="0"/>
    <n v="7"/>
    <n v="7"/>
    <n v="0"/>
    <n v="3"/>
    <n v="2"/>
    <n v="0"/>
    <n v="842.40000000000009"/>
    <n v="518.4"/>
    <n v="1641.6"/>
    <n v="9.3805714285714288"/>
    <n v="2"/>
    <n v="2"/>
    <n v="648"/>
    <n v="648"/>
    <n v="2937.6"/>
  </r>
  <r>
    <n v="205"/>
    <x v="12"/>
    <n v="7"/>
    <x v="2"/>
    <x v="1"/>
    <x v="0"/>
    <n v="162"/>
    <n v="162"/>
    <n v="0"/>
    <n v="189"/>
    <n v="0"/>
    <n v="0"/>
    <n v="150"/>
    <n v="0"/>
    <n v="0.92592592592592593"/>
    <n v="184"/>
    <n v="129"/>
    <n v="36"/>
    <n v="165"/>
    <n v="27600"/>
    <n v="26730"/>
    <n v="870"/>
    <n v="2208"/>
    <n v="0"/>
    <n v="7"/>
    <n v="7"/>
    <n v="0"/>
    <n v="4"/>
    <n v="1"/>
    <n v="0"/>
    <n v="1123.2"/>
    <n v="259.2"/>
    <n v="1641.6"/>
    <n v="10.133333333333333"/>
    <n v="2"/>
    <n v="2"/>
    <n v="648"/>
    <n v="648"/>
    <n v="2937.6"/>
  </r>
  <r>
    <n v="208"/>
    <x v="13"/>
    <n v="3"/>
    <x v="3"/>
    <x v="1"/>
    <x v="0"/>
    <n v="196"/>
    <n v="185"/>
    <n v="0"/>
    <n v="189"/>
    <n v="11"/>
    <n v="0"/>
    <n v="181"/>
    <n v="11"/>
    <n v="0.97837837837837838"/>
    <n v="184"/>
    <n v="129"/>
    <n v="36"/>
    <n v="165"/>
    <n v="33304"/>
    <n v="30525"/>
    <n v="2779"/>
    <n v="736"/>
    <n v="30569"/>
    <n v="7"/>
    <n v="7"/>
    <n v="0"/>
    <n v="4"/>
    <n v="1"/>
    <n v="0"/>
    <n v="1123.2"/>
    <n v="259.2"/>
    <n v="1641.6"/>
    <n v="8.8735135135135135"/>
    <n v="2"/>
    <n v="2"/>
    <n v="648"/>
    <n v="648"/>
    <n v="2937.6"/>
  </r>
  <r>
    <n v="209"/>
    <x v="14"/>
    <n v="4"/>
    <x v="3"/>
    <x v="1"/>
    <x v="0"/>
    <n v="200"/>
    <n v="187"/>
    <n v="0"/>
    <n v="189"/>
    <n v="13"/>
    <n v="0"/>
    <n v="175"/>
    <n v="13"/>
    <n v="0.93582887700534756"/>
    <n v="184"/>
    <n v="129"/>
    <n v="36"/>
    <n v="165"/>
    <n v="32200"/>
    <n v="30855"/>
    <n v="1345"/>
    <n v="2208"/>
    <n v="17485"/>
    <n v="7"/>
    <n v="7"/>
    <n v="0"/>
    <n v="4"/>
    <n v="1"/>
    <n v="0"/>
    <n v="1123.2"/>
    <n v="259.2"/>
    <n v="1641.6"/>
    <n v="8.778609625668448"/>
    <n v="2"/>
    <n v="2"/>
    <n v="648"/>
    <n v="648"/>
    <n v="2937.6"/>
  </r>
  <r>
    <n v="210"/>
    <x v="15"/>
    <n v="5"/>
    <x v="3"/>
    <x v="1"/>
    <x v="0"/>
    <n v="204"/>
    <n v="196"/>
    <n v="0"/>
    <n v="189"/>
    <n v="8"/>
    <n v="0"/>
    <n v="184"/>
    <n v="8"/>
    <n v="0.93877551020408168"/>
    <n v="184"/>
    <n v="129"/>
    <n v="36"/>
    <n v="165"/>
    <n v="33856"/>
    <n v="32340"/>
    <n v="1516"/>
    <n v="2208"/>
    <n v="12128"/>
    <n v="7"/>
    <n v="7"/>
    <n v="0"/>
    <n v="3"/>
    <n v="2"/>
    <n v="0"/>
    <n v="842.40000000000009"/>
    <n v="518.4"/>
    <n v="1641.6"/>
    <n v="8.3755102040816318"/>
    <n v="2"/>
    <n v="2"/>
    <n v="648"/>
    <n v="648"/>
    <n v="2937.6"/>
  </r>
  <r>
    <n v="211"/>
    <x v="16"/>
    <n v="6"/>
    <x v="3"/>
    <x v="1"/>
    <x v="0"/>
    <n v="170"/>
    <n v="170"/>
    <n v="0"/>
    <n v="189"/>
    <n v="0"/>
    <n v="0"/>
    <n v="158"/>
    <n v="0"/>
    <n v="0.92941176470588238"/>
    <n v="184"/>
    <n v="129"/>
    <n v="36"/>
    <n v="165"/>
    <n v="29072"/>
    <n v="28050"/>
    <n v="1022"/>
    <n v="2208"/>
    <n v="0"/>
    <n v="7"/>
    <n v="7"/>
    <n v="1"/>
    <n v="3"/>
    <n v="1"/>
    <n v="194.4"/>
    <n v="842.40000000000009"/>
    <n v="259.2"/>
    <n v="1641.6"/>
    <n v="9.6564705882352939"/>
    <n v="2"/>
    <n v="2"/>
    <n v="648"/>
    <n v="648"/>
    <n v="2937.6"/>
  </r>
  <r>
    <n v="212"/>
    <x v="17"/>
    <n v="7"/>
    <x v="3"/>
    <x v="1"/>
    <x v="0"/>
    <n v="204"/>
    <n v="196"/>
    <n v="0"/>
    <n v="189"/>
    <n v="8"/>
    <n v="0"/>
    <n v="188"/>
    <n v="8"/>
    <n v="0.95918367346938771"/>
    <n v="184"/>
    <n v="129"/>
    <n v="36"/>
    <n v="165"/>
    <n v="34592"/>
    <n v="32340"/>
    <n v="2252"/>
    <n v="1472"/>
    <n v="18016"/>
    <n v="7"/>
    <n v="7"/>
    <n v="0"/>
    <n v="4"/>
    <n v="1"/>
    <n v="0"/>
    <n v="1123.2"/>
    <n v="259.2"/>
    <n v="1641.6"/>
    <n v="8.3755102040816318"/>
    <n v="2"/>
    <n v="2"/>
    <n v="648"/>
    <n v="648"/>
    <n v="2937.6"/>
  </r>
  <r>
    <n v="215"/>
    <x v="18"/>
    <n v="3"/>
    <x v="4"/>
    <x v="1"/>
    <x v="0"/>
    <n v="173"/>
    <n v="173"/>
    <n v="0"/>
    <n v="189"/>
    <n v="0"/>
    <n v="0"/>
    <n v="160"/>
    <n v="0"/>
    <n v="0.92485549132947975"/>
    <n v="184"/>
    <n v="129"/>
    <n v="36"/>
    <n v="165"/>
    <n v="29440"/>
    <n v="28545"/>
    <n v="895"/>
    <n v="2392"/>
    <n v="0"/>
    <n v="7"/>
    <n v="7"/>
    <n v="0"/>
    <n v="3"/>
    <n v="2"/>
    <n v="0"/>
    <n v="842.40000000000009"/>
    <n v="518.4"/>
    <n v="1641.6"/>
    <n v="9.4890173410404621"/>
    <n v="2"/>
    <n v="2"/>
    <n v="648"/>
    <n v="648"/>
    <n v="2937.6"/>
  </r>
  <r>
    <n v="216"/>
    <x v="19"/>
    <n v="4"/>
    <x v="4"/>
    <x v="1"/>
    <x v="0"/>
    <n v="166"/>
    <n v="166"/>
    <n v="0"/>
    <n v="189"/>
    <n v="0"/>
    <n v="0"/>
    <n v="157"/>
    <n v="0"/>
    <n v="0.94578313253012047"/>
    <n v="184"/>
    <n v="129"/>
    <n v="36"/>
    <n v="165"/>
    <n v="28888"/>
    <n v="27390"/>
    <n v="1498"/>
    <n v="1656"/>
    <n v="0"/>
    <n v="7"/>
    <n v="7"/>
    <n v="0"/>
    <n v="3"/>
    <n v="2"/>
    <n v="0"/>
    <n v="842.40000000000009"/>
    <n v="518.4"/>
    <n v="1641.6"/>
    <n v="9.8891566265060238"/>
    <n v="2"/>
    <n v="2"/>
    <n v="648"/>
    <n v="648"/>
    <n v="2937.6"/>
  </r>
  <r>
    <n v="217"/>
    <x v="20"/>
    <n v="5"/>
    <x v="4"/>
    <x v="1"/>
    <x v="0"/>
    <n v="226"/>
    <n v="175"/>
    <n v="0"/>
    <n v="189"/>
    <n v="51"/>
    <n v="0"/>
    <n v="171"/>
    <n v="51"/>
    <n v="0.97714285714285709"/>
    <n v="184"/>
    <n v="129"/>
    <n v="36"/>
    <n v="165"/>
    <n v="31464"/>
    <n v="28875"/>
    <n v="2589"/>
    <n v="736"/>
    <n v="132039"/>
    <n v="7"/>
    <n v="7"/>
    <n v="1"/>
    <n v="3"/>
    <n v="1"/>
    <n v="194.4"/>
    <n v="842.40000000000009"/>
    <n v="259.2"/>
    <n v="1641.6"/>
    <n v="9.3805714285714288"/>
    <n v="2"/>
    <n v="2"/>
    <n v="648"/>
    <n v="648"/>
    <n v="2937.6"/>
  </r>
  <r>
    <n v="218"/>
    <x v="0"/>
    <n v="5"/>
    <x v="0"/>
    <x v="2"/>
    <x v="0"/>
    <n v="165"/>
    <n v="155"/>
    <n v="0"/>
    <n v="162"/>
    <n v="0"/>
    <n v="0"/>
    <n v="148"/>
    <n v="10"/>
    <n v="0.95483870967741935"/>
    <n v="184"/>
    <n v="129"/>
    <n v="36"/>
    <n v="165"/>
    <n v="27232"/>
    <n v="25575"/>
    <n v="1657"/>
    <n v="1288"/>
    <n v="0"/>
    <n v="6"/>
    <n v="6"/>
    <n v="0"/>
    <n v="4"/>
    <n v="0"/>
    <n v="0"/>
    <n v="1123.2"/>
    <n v="0"/>
    <n v="1641.6"/>
    <n v="10.590967741935483"/>
    <n v="2"/>
    <n v="1"/>
    <n v="648"/>
    <n v="324"/>
    <n v="2613.6"/>
  </r>
  <r>
    <n v="219"/>
    <x v="1"/>
    <n v="6"/>
    <x v="0"/>
    <x v="2"/>
    <x v="0"/>
    <n v="163"/>
    <n v="163"/>
    <n v="15"/>
    <n v="162"/>
    <n v="10"/>
    <n v="25"/>
    <n v="174"/>
    <n v="0"/>
    <n v="1.0674846625766872"/>
    <n v="184"/>
    <n v="129"/>
    <n v="36"/>
    <n v="165"/>
    <n v="32016"/>
    <n v="26895"/>
    <n v="5121"/>
    <n v="-2024"/>
    <n v="51210"/>
    <n v="6"/>
    <n v="6"/>
    <n v="0"/>
    <n v="4"/>
    <n v="0"/>
    <n v="0"/>
    <n v="1123.2"/>
    <n v="0"/>
    <n v="1641.6"/>
    <n v="10.071165644171778"/>
    <n v="2"/>
    <n v="1"/>
    <n v="648"/>
    <n v="324"/>
    <n v="2613.6"/>
  </r>
  <r>
    <n v="220"/>
    <x v="2"/>
    <n v="7"/>
    <x v="0"/>
    <x v="2"/>
    <x v="0"/>
    <n v="194"/>
    <n v="157"/>
    <n v="21"/>
    <n v="162"/>
    <n v="20"/>
    <n v="41"/>
    <n v="174"/>
    <n v="37"/>
    <n v="1.10828025477707"/>
    <n v="184"/>
    <n v="129"/>
    <n v="36"/>
    <n v="165"/>
    <n v="32016"/>
    <n v="25905"/>
    <n v="6111"/>
    <n v="-3128"/>
    <n v="122220"/>
    <n v="6"/>
    <n v="6"/>
    <n v="0"/>
    <n v="4"/>
    <n v="0"/>
    <n v="0"/>
    <n v="1123.2"/>
    <n v="0"/>
    <n v="1641.6"/>
    <n v="10.456050955414012"/>
    <n v="2"/>
    <n v="1"/>
    <n v="648"/>
    <n v="324"/>
    <n v="2613.6"/>
  </r>
  <r>
    <n v="223"/>
    <x v="3"/>
    <n v="3"/>
    <x v="1"/>
    <x v="2"/>
    <x v="0"/>
    <n v="152"/>
    <n v="152"/>
    <n v="0"/>
    <n v="162"/>
    <n v="0"/>
    <n v="0"/>
    <n v="148"/>
    <n v="0"/>
    <n v="0.97368421052631582"/>
    <n v="184"/>
    <n v="129"/>
    <n v="36"/>
    <n v="165"/>
    <n v="27232"/>
    <n v="25080"/>
    <n v="2152"/>
    <n v="736"/>
    <n v="0"/>
    <n v="6"/>
    <n v="6"/>
    <n v="0"/>
    <n v="3"/>
    <n v="1"/>
    <n v="0"/>
    <n v="842.40000000000009"/>
    <n v="259.2"/>
    <n v="1641.6"/>
    <n v="10.799999999999999"/>
    <n v="2"/>
    <n v="1"/>
    <n v="648"/>
    <n v="324"/>
    <n v="2613.6"/>
  </r>
  <r>
    <n v="224"/>
    <x v="4"/>
    <n v="4"/>
    <x v="1"/>
    <x v="2"/>
    <x v="0"/>
    <n v="173"/>
    <n v="160"/>
    <n v="18"/>
    <n v="162"/>
    <n v="53"/>
    <n v="71"/>
    <n v="174"/>
    <n v="13"/>
    <n v="1.0874999999999999"/>
    <n v="184"/>
    <n v="129"/>
    <n v="36"/>
    <n v="165"/>
    <n v="32016"/>
    <n v="26400"/>
    <n v="5616"/>
    <n v="-2576"/>
    <n v="297648"/>
    <n v="6"/>
    <n v="6"/>
    <n v="0"/>
    <n v="4"/>
    <n v="0"/>
    <n v="0"/>
    <n v="1123.2"/>
    <n v="0"/>
    <n v="1641.6"/>
    <n v="10.26"/>
    <n v="2"/>
    <n v="1"/>
    <n v="648"/>
    <n v="324"/>
    <n v="2613.6"/>
  </r>
  <r>
    <n v="225"/>
    <x v="5"/>
    <n v="5"/>
    <x v="1"/>
    <x v="2"/>
    <x v="0"/>
    <n v="183"/>
    <n v="158"/>
    <n v="20"/>
    <n v="162"/>
    <n v="16"/>
    <n v="36"/>
    <n v="172"/>
    <n v="25"/>
    <n v="1.0886075949367089"/>
    <n v="184"/>
    <n v="129"/>
    <n v="36"/>
    <n v="165"/>
    <n v="31648"/>
    <n v="26070"/>
    <n v="5578"/>
    <n v="-2576"/>
    <n v="89248"/>
    <n v="6"/>
    <n v="6"/>
    <n v="0"/>
    <n v="4"/>
    <n v="0"/>
    <n v="0"/>
    <n v="1123.2"/>
    <n v="0"/>
    <n v="1641.6"/>
    <n v="10.389873417721519"/>
    <n v="2"/>
    <n v="1"/>
    <n v="648"/>
    <n v="324"/>
    <n v="2613.6"/>
  </r>
  <r>
    <n v="226"/>
    <x v="6"/>
    <n v="6"/>
    <x v="1"/>
    <x v="2"/>
    <x v="0"/>
    <n v="176"/>
    <n v="153"/>
    <n v="25"/>
    <n v="162"/>
    <n v="8"/>
    <n v="33"/>
    <n v="174"/>
    <n v="23"/>
    <n v="1.1372549019607843"/>
    <n v="184"/>
    <n v="129"/>
    <n v="36"/>
    <n v="165"/>
    <n v="32016"/>
    <n v="25245"/>
    <n v="6771"/>
    <n v="-3864"/>
    <n v="54168"/>
    <n v="6"/>
    <n v="6"/>
    <n v="0"/>
    <n v="4"/>
    <n v="0"/>
    <n v="0"/>
    <n v="1123.2"/>
    <n v="0"/>
    <n v="1641.6"/>
    <n v="10.729411764705882"/>
    <n v="2"/>
    <n v="1"/>
    <n v="648"/>
    <n v="324"/>
    <n v="2613.6"/>
  </r>
  <r>
    <n v="227"/>
    <x v="7"/>
    <n v="7"/>
    <x v="1"/>
    <x v="2"/>
    <x v="0"/>
    <n v="171"/>
    <n v="133"/>
    <n v="24"/>
    <n v="162"/>
    <n v="0"/>
    <n v="24"/>
    <n v="147"/>
    <n v="38"/>
    <n v="1.1052631578947369"/>
    <n v="184"/>
    <n v="129"/>
    <n v="36"/>
    <n v="165"/>
    <n v="27048"/>
    <n v="21945"/>
    <n v="5103"/>
    <n v="-2576"/>
    <n v="0"/>
    <n v="6"/>
    <n v="5"/>
    <n v="0"/>
    <n v="3"/>
    <n v="0"/>
    <n v="0"/>
    <n v="842.40000000000009"/>
    <n v="0"/>
    <n v="1641.6"/>
    <n v="12.342857142857142"/>
    <n v="2"/>
    <n v="1"/>
    <n v="648"/>
    <n v="324"/>
    <n v="2613.6"/>
  </r>
  <r>
    <n v="230"/>
    <x v="8"/>
    <n v="3"/>
    <x v="2"/>
    <x v="2"/>
    <x v="0"/>
    <n v="153"/>
    <n v="153"/>
    <n v="2"/>
    <n v="162"/>
    <n v="0"/>
    <n v="2"/>
    <n v="151"/>
    <n v="0"/>
    <n v="0.98692810457516345"/>
    <n v="184"/>
    <n v="129"/>
    <n v="36"/>
    <n v="165"/>
    <n v="27784"/>
    <n v="25245"/>
    <n v="2539"/>
    <n v="368"/>
    <n v="0"/>
    <n v="6"/>
    <n v="6"/>
    <n v="0"/>
    <n v="3"/>
    <n v="1"/>
    <n v="0"/>
    <n v="842.40000000000009"/>
    <n v="259.2"/>
    <n v="1641.6"/>
    <n v="10.729411764705882"/>
    <n v="2"/>
    <n v="1"/>
    <n v="648"/>
    <n v="324"/>
    <n v="2613.6"/>
  </r>
  <r>
    <n v="231"/>
    <x v="9"/>
    <n v="4"/>
    <x v="2"/>
    <x v="2"/>
    <x v="0"/>
    <n v="153"/>
    <n v="153"/>
    <n v="25"/>
    <n v="162"/>
    <n v="4"/>
    <n v="29"/>
    <n v="165"/>
    <n v="0"/>
    <n v="1.0784313725490196"/>
    <n v="184"/>
    <n v="129"/>
    <n v="36"/>
    <n v="165"/>
    <n v="30360"/>
    <n v="25245"/>
    <n v="5115"/>
    <n v="-2208"/>
    <n v="20460"/>
    <n v="6"/>
    <n v="6"/>
    <n v="0"/>
    <n v="3"/>
    <n v="1"/>
    <n v="0"/>
    <n v="842.40000000000009"/>
    <n v="259.2"/>
    <n v="1641.6"/>
    <n v="10.729411764705882"/>
    <n v="2"/>
    <n v="1"/>
    <n v="648"/>
    <n v="324"/>
    <n v="2613.6"/>
  </r>
  <r>
    <n v="232"/>
    <x v="10"/>
    <n v="5"/>
    <x v="2"/>
    <x v="2"/>
    <x v="0"/>
    <n v="162"/>
    <n v="155"/>
    <n v="0"/>
    <n v="162"/>
    <n v="0"/>
    <n v="0"/>
    <n v="150"/>
    <n v="7"/>
    <n v="0.967741935483871"/>
    <n v="184"/>
    <n v="129"/>
    <n v="36"/>
    <n v="165"/>
    <n v="27600"/>
    <n v="25575"/>
    <n v="2025"/>
    <n v="920"/>
    <n v="0"/>
    <n v="6"/>
    <n v="6"/>
    <n v="0"/>
    <n v="4"/>
    <n v="0"/>
    <n v="0"/>
    <n v="1123.2"/>
    <n v="0"/>
    <n v="1641.6"/>
    <n v="10.590967741935483"/>
    <n v="2"/>
    <n v="1"/>
    <n v="648"/>
    <n v="324"/>
    <n v="2613.6"/>
  </r>
  <r>
    <n v="233"/>
    <x v="11"/>
    <n v="6"/>
    <x v="2"/>
    <x v="2"/>
    <x v="0"/>
    <n v="189"/>
    <n v="158"/>
    <n v="0"/>
    <n v="162"/>
    <n v="0"/>
    <n v="0"/>
    <n v="151"/>
    <n v="31"/>
    <n v="0.95569620253164556"/>
    <n v="184"/>
    <n v="129"/>
    <n v="36"/>
    <n v="165"/>
    <n v="27784"/>
    <n v="26070"/>
    <n v="1714"/>
    <n v="1288"/>
    <n v="0"/>
    <n v="6"/>
    <n v="6"/>
    <n v="0"/>
    <n v="3"/>
    <n v="1"/>
    <n v="0"/>
    <n v="842.40000000000009"/>
    <n v="259.2"/>
    <n v="1641.6"/>
    <n v="10.389873417721519"/>
    <n v="2"/>
    <n v="1"/>
    <n v="648"/>
    <n v="324"/>
    <n v="2613.6"/>
  </r>
  <r>
    <n v="234"/>
    <x v="12"/>
    <n v="7"/>
    <x v="2"/>
    <x v="2"/>
    <x v="0"/>
    <n v="140"/>
    <n v="140"/>
    <n v="38"/>
    <n v="162"/>
    <n v="5"/>
    <n v="43"/>
    <n v="165"/>
    <n v="0"/>
    <n v="1.1785714285714286"/>
    <n v="184"/>
    <n v="129"/>
    <n v="36"/>
    <n v="165"/>
    <n v="30360"/>
    <n v="23100"/>
    <n v="7260"/>
    <n v="-4600"/>
    <n v="36300"/>
    <n v="6"/>
    <n v="6"/>
    <n v="0"/>
    <n v="3"/>
    <n v="1"/>
    <n v="0"/>
    <n v="842.40000000000009"/>
    <n v="259.2"/>
    <n v="1641.6"/>
    <n v="11.725714285714284"/>
    <n v="2"/>
    <n v="1"/>
    <n v="648"/>
    <n v="324"/>
    <n v="2613.6"/>
  </r>
  <r>
    <n v="237"/>
    <x v="13"/>
    <n v="3"/>
    <x v="3"/>
    <x v="2"/>
    <x v="0"/>
    <n v="136"/>
    <n v="136"/>
    <n v="42"/>
    <n v="162"/>
    <n v="12"/>
    <n v="54"/>
    <n v="172"/>
    <n v="0"/>
    <n v="1.2647058823529411"/>
    <n v="184"/>
    <n v="129"/>
    <n v="36"/>
    <n v="165"/>
    <n v="31648"/>
    <n v="22440"/>
    <n v="9208"/>
    <n v="-6624"/>
    <n v="110496"/>
    <n v="6"/>
    <n v="6"/>
    <n v="0"/>
    <n v="4"/>
    <n v="0"/>
    <n v="0"/>
    <n v="1123.2"/>
    <n v="0"/>
    <n v="1641.6"/>
    <n v="12.070588235294117"/>
    <n v="2"/>
    <n v="1"/>
    <n v="648"/>
    <n v="324"/>
    <n v="2613.6"/>
  </r>
  <r>
    <n v="238"/>
    <x v="14"/>
    <n v="4"/>
    <x v="3"/>
    <x v="2"/>
    <x v="0"/>
    <n v="137"/>
    <n v="137"/>
    <n v="15"/>
    <n v="162"/>
    <n v="0"/>
    <n v="15"/>
    <n v="144"/>
    <n v="0"/>
    <n v="1.051094890510949"/>
    <n v="184"/>
    <n v="129"/>
    <n v="36"/>
    <n v="165"/>
    <n v="26496"/>
    <n v="22605"/>
    <n v="3891"/>
    <n v="-1288"/>
    <n v="0"/>
    <n v="6"/>
    <n v="6"/>
    <n v="0"/>
    <n v="4"/>
    <n v="0"/>
    <n v="0"/>
    <n v="1123.2"/>
    <n v="0"/>
    <n v="1641.6"/>
    <n v="11.982481751824817"/>
    <n v="2"/>
    <n v="1"/>
    <n v="648"/>
    <n v="324"/>
    <n v="2613.6"/>
  </r>
  <r>
    <n v="239"/>
    <x v="15"/>
    <n v="5"/>
    <x v="3"/>
    <x v="2"/>
    <x v="0"/>
    <n v="155"/>
    <n v="155"/>
    <n v="10"/>
    <n v="162"/>
    <n v="0"/>
    <n v="10"/>
    <n v="161"/>
    <n v="0"/>
    <n v="1.0387096774193549"/>
    <n v="184"/>
    <n v="129"/>
    <n v="36"/>
    <n v="165"/>
    <n v="29624"/>
    <n v="25575"/>
    <n v="4049"/>
    <n v="-1104"/>
    <n v="0"/>
    <n v="6"/>
    <n v="6"/>
    <n v="0"/>
    <n v="3"/>
    <n v="1"/>
    <n v="0"/>
    <n v="842.40000000000009"/>
    <n v="259.2"/>
    <n v="1641.6"/>
    <n v="10.590967741935483"/>
    <n v="2"/>
    <n v="1"/>
    <n v="648"/>
    <n v="324"/>
    <n v="2613.6"/>
  </r>
  <r>
    <n v="240"/>
    <x v="16"/>
    <n v="6"/>
    <x v="3"/>
    <x v="2"/>
    <x v="0"/>
    <n v="178"/>
    <n v="158"/>
    <n v="0"/>
    <n v="162"/>
    <n v="0"/>
    <n v="0"/>
    <n v="153"/>
    <n v="20"/>
    <n v="0.96835443037974689"/>
    <n v="184"/>
    <n v="129"/>
    <n v="36"/>
    <n v="165"/>
    <n v="28152"/>
    <n v="26070"/>
    <n v="2082"/>
    <n v="920"/>
    <n v="0"/>
    <n v="6"/>
    <n v="6"/>
    <n v="0"/>
    <n v="3"/>
    <n v="1"/>
    <n v="0"/>
    <n v="842.40000000000009"/>
    <n v="259.2"/>
    <n v="1641.6"/>
    <n v="10.389873417721519"/>
    <n v="2"/>
    <n v="1"/>
    <n v="648"/>
    <n v="324"/>
    <n v="2613.6"/>
  </r>
  <r>
    <n v="241"/>
    <x v="17"/>
    <n v="7"/>
    <x v="3"/>
    <x v="2"/>
    <x v="0"/>
    <n v="136"/>
    <n v="136"/>
    <n v="38"/>
    <n v="162"/>
    <n v="0"/>
    <n v="38"/>
    <n v="165"/>
    <n v="0"/>
    <n v="1.213235294117647"/>
    <n v="184"/>
    <n v="129"/>
    <n v="36"/>
    <n v="165"/>
    <n v="30360"/>
    <n v="22440"/>
    <n v="7920"/>
    <n v="-5336"/>
    <n v="0"/>
    <n v="6"/>
    <n v="6"/>
    <n v="0"/>
    <n v="3"/>
    <n v="1"/>
    <n v="0"/>
    <n v="842.40000000000009"/>
    <n v="259.2"/>
    <n v="1641.6"/>
    <n v="12.070588235294117"/>
    <n v="2"/>
    <n v="1"/>
    <n v="648"/>
    <n v="324"/>
    <n v="2613.6"/>
  </r>
  <r>
    <n v="244"/>
    <x v="18"/>
    <n v="3"/>
    <x v="4"/>
    <x v="2"/>
    <x v="0"/>
    <n v="139"/>
    <n v="139"/>
    <n v="2"/>
    <n v="162"/>
    <n v="0"/>
    <n v="2"/>
    <n v="132"/>
    <n v="0"/>
    <n v="0.94964028776978415"/>
    <n v="184"/>
    <n v="129"/>
    <n v="36"/>
    <n v="165"/>
    <n v="24288"/>
    <n v="22935"/>
    <n v="1353"/>
    <n v="1288"/>
    <n v="0"/>
    <n v="6"/>
    <n v="6"/>
    <n v="0"/>
    <n v="3"/>
    <n v="1"/>
    <n v="0"/>
    <n v="842.40000000000009"/>
    <n v="259.2"/>
    <n v="1641.6"/>
    <n v="11.810071942446042"/>
    <n v="2"/>
    <n v="1"/>
    <n v="648"/>
    <n v="324"/>
    <n v="2613.6"/>
  </r>
  <r>
    <n v="245"/>
    <x v="19"/>
    <n v="4"/>
    <x v="4"/>
    <x v="2"/>
    <x v="0"/>
    <n v="179"/>
    <n v="155"/>
    <n v="0"/>
    <n v="162"/>
    <n v="0"/>
    <n v="0"/>
    <n v="145"/>
    <n v="24"/>
    <n v="0.93548387096774188"/>
    <n v="184"/>
    <n v="129"/>
    <n v="36"/>
    <n v="165"/>
    <n v="26680"/>
    <n v="25575"/>
    <n v="1105"/>
    <n v="1840"/>
    <n v="0"/>
    <n v="6"/>
    <n v="6"/>
    <n v="0"/>
    <n v="3"/>
    <n v="1"/>
    <n v="0"/>
    <n v="842.40000000000009"/>
    <n v="259.2"/>
    <n v="1641.6"/>
    <n v="10.590967741935483"/>
    <n v="2"/>
    <n v="1"/>
    <n v="648"/>
    <n v="324"/>
    <n v="2613.6"/>
  </r>
  <r>
    <n v="246"/>
    <x v="20"/>
    <n v="5"/>
    <x v="4"/>
    <x v="2"/>
    <x v="0"/>
    <n v="134"/>
    <n v="134"/>
    <n v="44"/>
    <n v="162"/>
    <n v="7"/>
    <n v="51"/>
    <n v="172"/>
    <n v="0"/>
    <n v="1.2835820895522387"/>
    <n v="184"/>
    <n v="129"/>
    <n v="36"/>
    <n v="165"/>
    <n v="31648"/>
    <n v="22110"/>
    <n v="9538"/>
    <n v="-6992"/>
    <n v="66766"/>
    <n v="6"/>
    <n v="6"/>
    <n v="0"/>
    <n v="3"/>
    <n v="1"/>
    <n v="0"/>
    <n v="842.40000000000009"/>
    <n v="259.2"/>
    <n v="1641.6"/>
    <n v="12.250746268656716"/>
    <n v="2"/>
    <n v="1"/>
    <n v="648"/>
    <n v="324"/>
    <n v="2613.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n v="218"/>
    <x v="0"/>
    <n v="5"/>
    <n v="5"/>
    <n v="3"/>
    <x v="0"/>
    <n v="165"/>
    <n v="155"/>
    <n v="0"/>
    <n v="162"/>
    <n v="0"/>
    <n v="0"/>
    <n v="148"/>
    <n v="10"/>
    <n v="0.95483870967741935"/>
    <n v="184"/>
    <n v="129"/>
    <n v="36"/>
    <n v="165"/>
    <n v="27232"/>
    <n v="25575"/>
    <n v="1657"/>
    <n v="1288"/>
    <n v="0"/>
    <n v="6"/>
    <n v="6"/>
    <n v="0"/>
    <n v="4"/>
    <n v="0"/>
    <n v="0"/>
    <n v="1123.2"/>
    <n v="0"/>
    <e v="#REF!"/>
    <e v="#REF!"/>
    <n v="2"/>
    <n v="1"/>
    <n v="648"/>
    <n v="324"/>
    <e v="#REF!"/>
  </r>
  <r>
    <n v="219"/>
    <x v="1"/>
    <n v="6"/>
    <n v="5"/>
    <n v="3"/>
    <x v="0"/>
    <n v="163"/>
    <n v="163"/>
    <n v="15"/>
    <n v="162"/>
    <n v="10"/>
    <n v="25"/>
    <n v="174"/>
    <n v="0"/>
    <n v="1.0674846625766872"/>
    <n v="184"/>
    <n v="129"/>
    <n v="36"/>
    <n v="165"/>
    <n v="32016"/>
    <n v="26895"/>
    <n v="5121"/>
    <n v="-2024"/>
    <n v="51210"/>
    <n v="6"/>
    <n v="6"/>
    <n v="0"/>
    <n v="4"/>
    <n v="0"/>
    <n v="0"/>
    <n v="1123.2"/>
    <n v="0"/>
    <e v="#REF!"/>
    <e v="#REF!"/>
    <n v="2"/>
    <n v="1"/>
    <n v="648"/>
    <n v="324"/>
    <e v="#REF!"/>
  </r>
  <r>
    <n v="220"/>
    <x v="2"/>
    <n v="7"/>
    <n v="5"/>
    <n v="3"/>
    <x v="0"/>
    <n v="194"/>
    <n v="157"/>
    <n v="21"/>
    <n v="162"/>
    <n v="20"/>
    <n v="41"/>
    <n v="174"/>
    <n v="37"/>
    <n v="1.10828025477707"/>
    <n v="184"/>
    <n v="129"/>
    <n v="36"/>
    <n v="165"/>
    <n v="32016"/>
    <n v="25905"/>
    <n v="6111"/>
    <n v="-3128"/>
    <n v="122220"/>
    <n v="6"/>
    <n v="6"/>
    <n v="0"/>
    <n v="4"/>
    <n v="0"/>
    <n v="0"/>
    <n v="1123.2"/>
    <n v="0"/>
    <e v="#REF!"/>
    <e v="#REF!"/>
    <n v="2"/>
    <n v="1"/>
    <n v="648"/>
    <n v="324"/>
    <e v="#REF!"/>
  </r>
  <r>
    <n v="223"/>
    <x v="3"/>
    <n v="3"/>
    <n v="6"/>
    <n v="3"/>
    <x v="0"/>
    <n v="152"/>
    <n v="152"/>
    <n v="0"/>
    <n v="162"/>
    <n v="0"/>
    <n v="0"/>
    <n v="148"/>
    <n v="0"/>
    <n v="0.97368421052631582"/>
    <n v="184"/>
    <n v="129"/>
    <n v="36"/>
    <n v="165"/>
    <n v="27232"/>
    <n v="25080"/>
    <n v="2152"/>
    <n v="736"/>
    <n v="0"/>
    <n v="6"/>
    <n v="6"/>
    <n v="0"/>
    <n v="3"/>
    <n v="1"/>
    <n v="0"/>
    <n v="842.40000000000009"/>
    <n v="259.2"/>
    <e v="#REF!"/>
    <e v="#REF!"/>
    <n v="2"/>
    <n v="1"/>
    <n v="648"/>
    <n v="324"/>
    <e v="#REF!"/>
  </r>
  <r>
    <n v="224"/>
    <x v="4"/>
    <n v="4"/>
    <n v="6"/>
    <n v="3"/>
    <x v="0"/>
    <n v="173"/>
    <n v="160"/>
    <n v="18"/>
    <n v="162"/>
    <n v="53"/>
    <n v="71"/>
    <n v="174"/>
    <n v="13"/>
    <n v="1.0874999999999999"/>
    <n v="184"/>
    <n v="129"/>
    <n v="36"/>
    <n v="165"/>
    <n v="32016"/>
    <n v="26400"/>
    <n v="5616"/>
    <n v="-2576"/>
    <n v="297648"/>
    <n v="6"/>
    <n v="6"/>
    <n v="0"/>
    <n v="4"/>
    <n v="0"/>
    <n v="0"/>
    <n v="1123.2"/>
    <n v="0"/>
    <e v="#REF!"/>
    <e v="#REF!"/>
    <n v="2"/>
    <n v="1"/>
    <n v="648"/>
    <n v="324"/>
    <e v="#REF!"/>
  </r>
  <r>
    <n v="225"/>
    <x v="5"/>
    <n v="5"/>
    <n v="6"/>
    <n v="3"/>
    <x v="0"/>
    <n v="183"/>
    <n v="158"/>
    <n v="20"/>
    <n v="162"/>
    <n v="16"/>
    <n v="36"/>
    <n v="172"/>
    <n v="25"/>
    <n v="1.0886075949367089"/>
    <n v="184"/>
    <n v="129"/>
    <n v="36"/>
    <n v="165"/>
    <n v="31648"/>
    <n v="26070"/>
    <n v="5578"/>
    <n v="-2576"/>
    <n v="89248"/>
    <n v="6"/>
    <n v="6"/>
    <n v="0"/>
    <n v="4"/>
    <n v="0"/>
    <n v="0"/>
    <n v="1123.2"/>
    <n v="0"/>
    <e v="#REF!"/>
    <e v="#REF!"/>
    <n v="2"/>
    <n v="1"/>
    <n v="648"/>
    <n v="324"/>
    <e v="#REF!"/>
  </r>
  <r>
    <n v="226"/>
    <x v="6"/>
    <n v="6"/>
    <n v="6"/>
    <n v="3"/>
    <x v="0"/>
    <n v="176"/>
    <n v="153"/>
    <n v="25"/>
    <n v="162"/>
    <n v="8"/>
    <n v="33"/>
    <n v="174"/>
    <n v="23"/>
    <n v="1.1372549019607843"/>
    <n v="184"/>
    <n v="129"/>
    <n v="36"/>
    <n v="165"/>
    <n v="32016"/>
    <n v="25245"/>
    <n v="6771"/>
    <n v="-3864"/>
    <n v="54168"/>
    <n v="6"/>
    <n v="6"/>
    <n v="0"/>
    <n v="4"/>
    <n v="0"/>
    <n v="0"/>
    <n v="1123.2"/>
    <n v="0"/>
    <e v="#REF!"/>
    <e v="#REF!"/>
    <n v="2"/>
    <n v="1"/>
    <n v="648"/>
    <n v="324"/>
    <e v="#REF!"/>
  </r>
  <r>
    <n v="227"/>
    <x v="7"/>
    <n v="7"/>
    <n v="6"/>
    <n v="3"/>
    <x v="0"/>
    <n v="171"/>
    <n v="133"/>
    <n v="24"/>
    <n v="162"/>
    <n v="0"/>
    <n v="24"/>
    <n v="147"/>
    <n v="38"/>
    <n v="1.1052631578947369"/>
    <n v="184"/>
    <n v="129"/>
    <n v="36"/>
    <n v="165"/>
    <n v="27048"/>
    <n v="21945"/>
    <n v="5103"/>
    <n v="-2576"/>
    <n v="0"/>
    <n v="6"/>
    <n v="5"/>
    <n v="0"/>
    <n v="3"/>
    <n v="0"/>
    <n v="0"/>
    <n v="842.40000000000009"/>
    <n v="0"/>
    <e v="#REF!"/>
    <e v="#REF!"/>
    <n v="2"/>
    <n v="1"/>
    <n v="648"/>
    <n v="324"/>
    <e v="#REF!"/>
  </r>
  <r>
    <n v="230"/>
    <x v="8"/>
    <n v="3"/>
    <n v="7"/>
    <n v="3"/>
    <x v="0"/>
    <n v="153"/>
    <n v="153"/>
    <n v="2"/>
    <n v="162"/>
    <n v="0"/>
    <n v="2"/>
    <n v="151"/>
    <n v="0"/>
    <n v="0.98692810457516345"/>
    <n v="184"/>
    <n v="129"/>
    <n v="36"/>
    <n v="165"/>
    <n v="27784"/>
    <n v="25245"/>
    <n v="2539"/>
    <n v="368"/>
    <n v="0"/>
    <n v="6"/>
    <n v="6"/>
    <n v="0"/>
    <n v="3"/>
    <n v="1"/>
    <n v="0"/>
    <n v="842.40000000000009"/>
    <n v="259.2"/>
    <e v="#REF!"/>
    <e v="#REF!"/>
    <n v="2"/>
    <n v="1"/>
    <n v="648"/>
    <n v="324"/>
    <e v="#REF!"/>
  </r>
  <r>
    <n v="231"/>
    <x v="9"/>
    <n v="4"/>
    <n v="7"/>
    <n v="3"/>
    <x v="0"/>
    <n v="153"/>
    <n v="153"/>
    <n v="25"/>
    <n v="162"/>
    <n v="4"/>
    <n v="29"/>
    <n v="165"/>
    <n v="0"/>
    <n v="1.0784313725490196"/>
    <n v="184"/>
    <n v="129"/>
    <n v="36"/>
    <n v="165"/>
    <n v="30360"/>
    <n v="25245"/>
    <n v="5115"/>
    <n v="-2208"/>
    <n v="20460"/>
    <n v="6"/>
    <n v="6"/>
    <n v="0"/>
    <n v="3"/>
    <n v="1"/>
    <n v="0"/>
    <n v="842.40000000000009"/>
    <n v="259.2"/>
    <e v="#REF!"/>
    <e v="#REF!"/>
    <n v="2"/>
    <n v="1"/>
    <n v="648"/>
    <n v="324"/>
    <e v="#REF!"/>
  </r>
  <r>
    <n v="232"/>
    <x v="10"/>
    <n v="5"/>
    <n v="7"/>
    <n v="3"/>
    <x v="0"/>
    <n v="162"/>
    <n v="155"/>
    <n v="0"/>
    <n v="162"/>
    <n v="0"/>
    <n v="0"/>
    <n v="150"/>
    <n v="7"/>
    <n v="0.967741935483871"/>
    <n v="184"/>
    <n v="129"/>
    <n v="36"/>
    <n v="165"/>
    <n v="27600"/>
    <n v="25575"/>
    <n v="2025"/>
    <n v="920"/>
    <n v="0"/>
    <n v="6"/>
    <n v="6"/>
    <n v="0"/>
    <n v="4"/>
    <n v="0"/>
    <n v="0"/>
    <n v="1123.2"/>
    <n v="0"/>
    <e v="#REF!"/>
    <e v="#REF!"/>
    <n v="2"/>
    <n v="1"/>
    <n v="648"/>
    <n v="324"/>
    <e v="#REF!"/>
  </r>
  <r>
    <n v="233"/>
    <x v="11"/>
    <n v="6"/>
    <n v="7"/>
    <n v="3"/>
    <x v="0"/>
    <n v="189"/>
    <n v="158"/>
    <n v="0"/>
    <n v="162"/>
    <n v="0"/>
    <n v="0"/>
    <n v="151"/>
    <n v="31"/>
    <n v="0.95569620253164556"/>
    <n v="184"/>
    <n v="129"/>
    <n v="36"/>
    <n v="165"/>
    <n v="27784"/>
    <n v="26070"/>
    <n v="1714"/>
    <n v="1288"/>
    <n v="0"/>
    <n v="6"/>
    <n v="6"/>
    <n v="0"/>
    <n v="3"/>
    <n v="1"/>
    <n v="0"/>
    <n v="842.40000000000009"/>
    <n v="259.2"/>
    <e v="#REF!"/>
    <e v="#REF!"/>
    <n v="2"/>
    <n v="1"/>
    <n v="648"/>
    <n v="324"/>
    <e v="#REF!"/>
  </r>
  <r>
    <n v="234"/>
    <x v="12"/>
    <n v="7"/>
    <n v="7"/>
    <n v="3"/>
    <x v="0"/>
    <n v="140"/>
    <n v="140"/>
    <n v="38"/>
    <n v="162"/>
    <n v="5"/>
    <n v="43"/>
    <n v="165"/>
    <n v="0"/>
    <n v="1.1785714285714286"/>
    <n v="184"/>
    <n v="129"/>
    <n v="36"/>
    <n v="165"/>
    <n v="30360"/>
    <n v="23100"/>
    <n v="7260"/>
    <n v="-4600"/>
    <n v="36300"/>
    <n v="6"/>
    <n v="6"/>
    <n v="0"/>
    <n v="3"/>
    <n v="1"/>
    <n v="0"/>
    <n v="842.40000000000009"/>
    <n v="259.2"/>
    <e v="#REF!"/>
    <e v="#REF!"/>
    <n v="2"/>
    <n v="1"/>
    <n v="648"/>
    <n v="324"/>
    <e v="#REF!"/>
  </r>
  <r>
    <n v="237"/>
    <x v="13"/>
    <n v="3"/>
    <n v="8"/>
    <n v="3"/>
    <x v="0"/>
    <n v="136"/>
    <n v="136"/>
    <n v="42"/>
    <n v="162"/>
    <n v="12"/>
    <n v="54"/>
    <n v="172"/>
    <n v="0"/>
    <n v="1.2647058823529411"/>
    <n v="184"/>
    <n v="129"/>
    <n v="36"/>
    <n v="165"/>
    <n v="31648"/>
    <n v="22440"/>
    <n v="9208"/>
    <n v="-6624"/>
    <n v="110496"/>
    <n v="6"/>
    <n v="6"/>
    <n v="0"/>
    <n v="4"/>
    <n v="0"/>
    <n v="0"/>
    <n v="1123.2"/>
    <n v="0"/>
    <e v="#REF!"/>
    <e v="#REF!"/>
    <n v="2"/>
    <n v="1"/>
    <n v="648"/>
    <n v="324"/>
    <e v="#REF!"/>
  </r>
  <r>
    <n v="238"/>
    <x v="14"/>
    <n v="4"/>
    <n v="8"/>
    <n v="3"/>
    <x v="0"/>
    <n v="137"/>
    <n v="137"/>
    <n v="15"/>
    <n v="162"/>
    <n v="0"/>
    <n v="15"/>
    <n v="144"/>
    <n v="0"/>
    <n v="1.051094890510949"/>
    <n v="184"/>
    <n v="129"/>
    <n v="36"/>
    <n v="165"/>
    <n v="26496"/>
    <n v="22605"/>
    <n v="3891"/>
    <n v="-1288"/>
    <n v="0"/>
    <n v="6"/>
    <n v="6"/>
    <n v="0"/>
    <n v="4"/>
    <n v="0"/>
    <n v="0"/>
    <n v="1123.2"/>
    <n v="0"/>
    <e v="#REF!"/>
    <e v="#REF!"/>
    <n v="2"/>
    <n v="1"/>
    <n v="648"/>
    <n v="324"/>
    <e v="#REF!"/>
  </r>
  <r>
    <n v="239"/>
    <x v="15"/>
    <n v="5"/>
    <n v="8"/>
    <n v="3"/>
    <x v="0"/>
    <n v="155"/>
    <n v="155"/>
    <n v="10"/>
    <n v="162"/>
    <n v="0"/>
    <n v="10"/>
    <n v="161"/>
    <n v="0"/>
    <n v="1.0387096774193549"/>
    <n v="184"/>
    <n v="129"/>
    <n v="36"/>
    <n v="165"/>
    <n v="29624"/>
    <n v="25575"/>
    <n v="4049"/>
    <n v="-1104"/>
    <n v="0"/>
    <n v="6"/>
    <n v="6"/>
    <n v="0"/>
    <n v="3"/>
    <n v="1"/>
    <n v="0"/>
    <n v="842.40000000000009"/>
    <n v="259.2"/>
    <e v="#REF!"/>
    <e v="#REF!"/>
    <n v="2"/>
    <n v="1"/>
    <n v="648"/>
    <n v="324"/>
    <e v="#REF!"/>
  </r>
  <r>
    <n v="240"/>
    <x v="16"/>
    <n v="6"/>
    <n v="8"/>
    <n v="3"/>
    <x v="0"/>
    <n v="178"/>
    <n v="158"/>
    <n v="0"/>
    <n v="162"/>
    <n v="0"/>
    <n v="0"/>
    <n v="153"/>
    <n v="20"/>
    <n v="0.96835443037974689"/>
    <n v="184"/>
    <n v="129"/>
    <n v="36"/>
    <n v="165"/>
    <n v="28152"/>
    <n v="26070"/>
    <n v="2082"/>
    <n v="920"/>
    <n v="0"/>
    <n v="6"/>
    <n v="6"/>
    <n v="0"/>
    <n v="3"/>
    <n v="1"/>
    <n v="0"/>
    <n v="842.40000000000009"/>
    <n v="259.2"/>
    <e v="#REF!"/>
    <e v="#REF!"/>
    <n v="2"/>
    <n v="1"/>
    <n v="648"/>
    <n v="324"/>
    <e v="#REF!"/>
  </r>
  <r>
    <n v="241"/>
    <x v="17"/>
    <n v="7"/>
    <n v="8"/>
    <n v="3"/>
    <x v="0"/>
    <n v="136"/>
    <n v="136"/>
    <n v="38"/>
    <n v="162"/>
    <n v="0"/>
    <n v="38"/>
    <n v="165"/>
    <n v="0"/>
    <n v="1.213235294117647"/>
    <n v="184"/>
    <n v="129"/>
    <n v="36"/>
    <n v="165"/>
    <n v="30360"/>
    <n v="22440"/>
    <n v="7920"/>
    <n v="-5336"/>
    <n v="0"/>
    <n v="6"/>
    <n v="6"/>
    <n v="0"/>
    <n v="3"/>
    <n v="1"/>
    <n v="0"/>
    <n v="842.40000000000009"/>
    <n v="259.2"/>
    <e v="#REF!"/>
    <e v="#REF!"/>
    <n v="2"/>
    <n v="1"/>
    <n v="648"/>
    <n v="324"/>
    <e v="#REF!"/>
  </r>
  <r>
    <n v="244"/>
    <x v="18"/>
    <n v="3"/>
    <n v="9"/>
    <n v="3"/>
    <x v="0"/>
    <n v="139"/>
    <n v="139"/>
    <n v="2"/>
    <n v="162"/>
    <n v="0"/>
    <n v="2"/>
    <n v="132"/>
    <n v="0"/>
    <n v="0.94964028776978415"/>
    <n v="184"/>
    <n v="129"/>
    <n v="36"/>
    <n v="165"/>
    <n v="24288"/>
    <n v="22935"/>
    <n v="1353"/>
    <n v="1288"/>
    <n v="0"/>
    <n v="6"/>
    <n v="6"/>
    <n v="0"/>
    <n v="3"/>
    <n v="1"/>
    <n v="0"/>
    <n v="842.40000000000009"/>
    <n v="259.2"/>
    <e v="#REF!"/>
    <e v="#REF!"/>
    <n v="2"/>
    <n v="1"/>
    <n v="648"/>
    <n v="324"/>
    <e v="#REF!"/>
  </r>
  <r>
    <n v="245"/>
    <x v="19"/>
    <n v="4"/>
    <n v="9"/>
    <n v="3"/>
    <x v="0"/>
    <n v="179"/>
    <n v="155"/>
    <n v="0"/>
    <n v="162"/>
    <n v="0"/>
    <n v="0"/>
    <n v="145"/>
    <n v="24"/>
    <n v="0.93548387096774188"/>
    <n v="184"/>
    <n v="129"/>
    <n v="36"/>
    <n v="165"/>
    <n v="26680"/>
    <n v="25575"/>
    <n v="1105"/>
    <n v="1840"/>
    <n v="0"/>
    <n v="6"/>
    <n v="6"/>
    <n v="0"/>
    <n v="3"/>
    <n v="1"/>
    <n v="0"/>
    <n v="842.40000000000009"/>
    <n v="259.2"/>
    <e v="#REF!"/>
    <e v="#REF!"/>
    <n v="2"/>
    <n v="1"/>
    <n v="648"/>
    <n v="324"/>
    <e v="#REF!"/>
  </r>
  <r>
    <n v="246"/>
    <x v="20"/>
    <n v="5"/>
    <n v="9"/>
    <n v="3"/>
    <x v="0"/>
    <n v="134"/>
    <n v="134"/>
    <n v="44"/>
    <n v="162"/>
    <n v="7"/>
    <n v="51"/>
    <n v="172"/>
    <n v="0"/>
    <n v="1.2835820895522387"/>
    <n v="184"/>
    <n v="129"/>
    <n v="36"/>
    <n v="165"/>
    <n v="31648"/>
    <n v="22110"/>
    <n v="9538"/>
    <n v="-6992"/>
    <n v="66766"/>
    <n v="6"/>
    <n v="6"/>
    <n v="0"/>
    <n v="3"/>
    <n v="1"/>
    <n v="0"/>
    <n v="842.40000000000009"/>
    <n v="259.2"/>
    <e v="#REF!"/>
    <e v="#REF!"/>
    <n v="2"/>
    <n v="1"/>
    <n v="648"/>
    <n v="324"/>
    <e v="#REF!"/>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62955D-CF0C-5F4B-90E6-BD9A131F4FC1}" name="PivotTable6" cacheId="2"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6">
  <location ref="A4:E11" firstHeaderRow="1" firstDataRow="2" firstDataCol="2"/>
  <pivotFields count="39">
    <pivotField compact="0" outline="0" showAll="0" defaultSubtotal="0"/>
    <pivotField compact="0" numFmtId="14" outline="0" showAll="0" defaultSubtotal="0"/>
    <pivotField compact="0" outline="0" showAll="0" defaultSubtotal="0"/>
    <pivotField axis="axisRow" compact="0" outline="0" showAll="0" defaultSubtotal="0">
      <items count="5">
        <item x="0"/>
        <item x="1"/>
        <item x="2"/>
        <item x="3"/>
        <item x="4"/>
      </items>
    </pivotField>
    <pivotField axis="axisCol" compact="0" outline="0" showAll="0" defaultSubtotal="0">
      <items count="3">
        <item x="0"/>
        <item x="1"/>
        <item x="2"/>
      </items>
    </pivotField>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dataField="1" compact="0" numFmtId="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3"/>
    <field x="5"/>
  </rowFields>
  <rowItems count="6">
    <i>
      <x/>
      <x/>
    </i>
    <i>
      <x v="1"/>
      <x/>
    </i>
    <i>
      <x v="2"/>
      <x/>
    </i>
    <i>
      <x v="3"/>
      <x/>
    </i>
    <i>
      <x v="4"/>
      <x/>
    </i>
    <i t="grand">
      <x/>
    </i>
  </rowItems>
  <colFields count="1">
    <field x="4"/>
  </colFields>
  <colItems count="3">
    <i>
      <x/>
    </i>
    <i>
      <x v="1"/>
    </i>
    <i>
      <x v="2"/>
    </i>
  </colItems>
  <dataFields count="1">
    <dataField name="Sum of Not Inspected Profit $" fld="23" baseField="0" baseItem="0" numFmtId="2"/>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10" format="6" series="1">
      <pivotArea type="data" outline="0" fieldPosition="0">
        <references count="2">
          <reference field="4294967294" count="1" selected="0">
            <x v="0"/>
          </reference>
          <reference field="4" count="1" selected="0">
            <x v="0"/>
          </reference>
        </references>
      </pivotArea>
    </chartFormat>
    <chartFormat chart="10" format="7" series="1">
      <pivotArea type="data" outline="0" fieldPosition="0">
        <references count="2">
          <reference field="4294967294" count="1" selected="0">
            <x v="0"/>
          </reference>
          <reference field="4" count="1" selected="0">
            <x v="1"/>
          </reference>
        </references>
      </pivotArea>
    </chartFormat>
    <chartFormat chart="10"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A695A8-4F51-ED4E-8C61-E3C7F6896910}" name="PivotTable7" cacheId="2"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8">
  <location ref="A3:E10" firstHeaderRow="1" firstDataRow="2" firstDataCol="2"/>
  <pivotFields count="39">
    <pivotField compact="0" outline="0" showAll="0" defaultSubtotal="0"/>
    <pivotField compact="0" numFmtId="14" outline="0" showAll="0" defaultSubtotal="0"/>
    <pivotField compact="0" outline="0" showAll="0" defaultSubtotal="0"/>
    <pivotField axis="axisRow" compact="0" outline="0" showAll="0" defaultSubtotal="0">
      <items count="5">
        <item x="0"/>
        <item x="1"/>
        <item x="2"/>
        <item x="3"/>
        <item x="4"/>
      </items>
    </pivotField>
    <pivotField axis="axisCol" compact="0" outline="0" showAll="0" defaultSubtotal="0">
      <items count="3">
        <item x="0"/>
        <item x="1"/>
        <item x="2"/>
      </items>
    </pivotField>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numFmtId="167"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3"/>
    <field x="5"/>
  </rowFields>
  <rowItems count="6">
    <i>
      <x/>
      <x/>
    </i>
    <i>
      <x v="1"/>
      <x/>
    </i>
    <i>
      <x v="2"/>
      <x/>
    </i>
    <i>
      <x v="3"/>
      <x/>
    </i>
    <i>
      <x v="4"/>
      <x/>
    </i>
    <i t="grand">
      <x/>
    </i>
  </rowItems>
  <colFields count="1">
    <field x="4"/>
  </colFields>
  <colItems count="3">
    <i>
      <x/>
    </i>
    <i>
      <x v="1"/>
    </i>
    <i>
      <x v="2"/>
    </i>
  </colItems>
  <dataFields count="1">
    <dataField name="Sum of Not Inspected" fld="10" baseField="0" baseItem="0"/>
  </dataFields>
  <formats count="1">
    <format dxfId="1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04D231-6027-4E4C-968D-8853345A35E1}"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4">
  <location ref="A3:F26" firstHeaderRow="1" firstDataRow="2" firstDataCol="2"/>
  <pivotFields count="39">
    <pivotField compact="0" outline="0" showAll="0" defaultSubtotal="0"/>
    <pivotField axis="axisRow" compact="0" numFmtId="14" outline="0" showAll="0" defaultSubtotal="0">
      <items count="21">
        <item x="0"/>
        <item x="1"/>
        <item x="2"/>
        <item x="3"/>
        <item x="4"/>
        <item x="5"/>
        <item x="6"/>
        <item x="7"/>
        <item x="8"/>
        <item x="9"/>
        <item x="10"/>
        <item x="11"/>
        <item x="12"/>
        <item x="13"/>
        <item x="14"/>
        <item x="15"/>
        <item x="16"/>
        <item x="17"/>
        <item x="18"/>
        <item x="19"/>
        <item x="20"/>
      </items>
    </pivotField>
    <pivotField compact="0" outline="0" showAll="0" defaultSubtotal="0"/>
    <pivotField compact="0" outline="0" showAll="0" defaultSubtotal="0"/>
    <pivotField axis="axisCol" compact="0" outline="0" showAll="0" defaultSubtotal="0">
      <items count="3">
        <item x="0"/>
        <item x="1"/>
        <item x="2"/>
      </items>
    </pivotField>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dataField="1" compact="0" numFmtId="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1"/>
    <field x="5"/>
  </rowFields>
  <rowItems count="22">
    <i>
      <x/>
      <x/>
    </i>
    <i>
      <x v="1"/>
      <x/>
    </i>
    <i>
      <x v="2"/>
      <x/>
    </i>
    <i>
      <x v="3"/>
      <x/>
    </i>
    <i>
      <x v="4"/>
      <x/>
    </i>
    <i>
      <x v="5"/>
      <x/>
    </i>
    <i>
      <x v="6"/>
      <x/>
    </i>
    <i>
      <x v="7"/>
      <x/>
    </i>
    <i>
      <x v="8"/>
      <x/>
    </i>
    <i>
      <x v="9"/>
      <x/>
    </i>
    <i>
      <x v="10"/>
      <x/>
    </i>
    <i>
      <x v="11"/>
      <x/>
    </i>
    <i>
      <x v="12"/>
      <x/>
    </i>
    <i>
      <x v="13"/>
      <x/>
    </i>
    <i>
      <x v="14"/>
      <x/>
    </i>
    <i>
      <x v="15"/>
      <x/>
    </i>
    <i>
      <x v="16"/>
      <x/>
    </i>
    <i>
      <x v="17"/>
      <x/>
    </i>
    <i>
      <x v="18"/>
      <x/>
    </i>
    <i>
      <x v="19"/>
      <x/>
    </i>
    <i>
      <x v="20"/>
      <x/>
    </i>
    <i t="grand">
      <x/>
    </i>
  </rowItems>
  <colFields count="1">
    <field x="4"/>
  </colFields>
  <colItems count="4">
    <i>
      <x/>
    </i>
    <i>
      <x v="1"/>
    </i>
    <i>
      <x v="2"/>
    </i>
    <i t="grand">
      <x/>
    </i>
  </colItems>
  <dataFields count="1">
    <dataField name="Sum of Not Inspected Profit $" fld="23" baseField="0" baseItem="0" numFmtId="2"/>
  </dataFields>
  <formats count="7">
    <format dxfId="16">
      <pivotArea type="origin" dataOnly="0" labelOnly="1" outline="0" fieldPosition="0"/>
    </format>
    <format dxfId="15">
      <pivotArea field="4" type="button" dataOnly="0" labelOnly="1" outline="0" axis="axisCol" fieldPosition="0"/>
    </format>
    <format dxfId="14">
      <pivotArea type="topRight" dataOnly="0" labelOnly="1" outline="0" fieldPosition="0"/>
    </format>
    <format dxfId="13">
      <pivotArea field="1" type="button" dataOnly="0" labelOnly="1" outline="0" axis="axisRow" fieldPosition="0"/>
    </format>
    <format dxfId="12">
      <pivotArea field="5" type="button" dataOnly="0" labelOnly="1" outline="0" axis="axisRow" fieldPosition="1"/>
    </format>
    <format dxfId="11">
      <pivotArea dataOnly="0" labelOnly="1" outline="0" fieldPosition="0">
        <references count="1">
          <reference field="4" count="0"/>
        </references>
      </pivotArea>
    </format>
    <format dxfId="10">
      <pivotArea dataOnly="0" labelOnly="1" grandCol="1" outline="0" fieldPosition="0"/>
    </format>
  </formats>
  <chartFormats count="3">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6ABA5E-48EA-664C-98E7-53D95AF3A177}" name="PivotTable2"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3:F26" firstHeaderRow="1" firstDataRow="2" firstDataCol="2"/>
  <pivotFields count="39">
    <pivotField compact="0" outline="0" showAll="0" defaultSubtotal="0"/>
    <pivotField axis="axisRow" compact="0" numFmtId="14" outline="0" showAll="0" defaultSubtotal="0">
      <items count="21">
        <item x="0"/>
        <item x="1"/>
        <item x="2"/>
        <item x="3"/>
        <item x="4"/>
        <item x="5"/>
        <item x="6"/>
        <item x="7"/>
        <item x="8"/>
        <item x="9"/>
        <item x="10"/>
        <item x="11"/>
        <item x="12"/>
        <item x="13"/>
        <item x="14"/>
        <item x="15"/>
        <item x="16"/>
        <item x="17"/>
        <item x="18"/>
        <item x="19"/>
        <item x="20"/>
      </items>
    </pivotField>
    <pivotField compact="0" outline="0" showAll="0" defaultSubtotal="0"/>
    <pivotField compact="0" outline="0" showAll="0" defaultSubtotal="0"/>
    <pivotField axis="axisCol" compact="0" outline="0" showAll="0" defaultSubtotal="0">
      <items count="3">
        <item x="0"/>
        <item x="1"/>
        <item x="2"/>
      </items>
    </pivotField>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numFmtId="167"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1"/>
    <field x="5"/>
  </rowFields>
  <rowItems count="22">
    <i>
      <x/>
      <x/>
    </i>
    <i>
      <x v="1"/>
      <x/>
    </i>
    <i>
      <x v="2"/>
      <x/>
    </i>
    <i>
      <x v="3"/>
      <x/>
    </i>
    <i>
      <x v="4"/>
      <x/>
    </i>
    <i>
      <x v="5"/>
      <x/>
    </i>
    <i>
      <x v="6"/>
      <x/>
    </i>
    <i>
      <x v="7"/>
      <x/>
    </i>
    <i>
      <x v="8"/>
      <x/>
    </i>
    <i>
      <x v="9"/>
      <x/>
    </i>
    <i>
      <x v="10"/>
      <x/>
    </i>
    <i>
      <x v="11"/>
      <x/>
    </i>
    <i>
      <x v="12"/>
      <x/>
    </i>
    <i>
      <x v="13"/>
      <x/>
    </i>
    <i>
      <x v="14"/>
      <x/>
    </i>
    <i>
      <x v="15"/>
      <x/>
    </i>
    <i>
      <x v="16"/>
      <x/>
    </i>
    <i>
      <x v="17"/>
      <x/>
    </i>
    <i>
      <x v="18"/>
      <x/>
    </i>
    <i>
      <x v="19"/>
      <x/>
    </i>
    <i>
      <x v="20"/>
      <x/>
    </i>
    <i t="grand">
      <x/>
    </i>
  </rowItems>
  <colFields count="1">
    <field x="4"/>
  </colFields>
  <colItems count="4">
    <i>
      <x/>
    </i>
    <i>
      <x v="1"/>
    </i>
    <i>
      <x v="2"/>
    </i>
    <i t="grand">
      <x/>
    </i>
  </colItems>
  <dataFields count="1">
    <dataField name="Sum of Not Inspected" fld="10" baseField="0" baseItem="0"/>
  </dataFields>
  <formats count="7">
    <format dxfId="9">
      <pivotArea type="origin" dataOnly="0" labelOnly="1" outline="0" fieldPosition="0"/>
    </format>
    <format dxfId="8">
      <pivotArea field="4" type="button" dataOnly="0" labelOnly="1" outline="0" axis="axisCol" fieldPosition="0"/>
    </format>
    <format dxfId="7">
      <pivotArea type="topRight" dataOnly="0" labelOnly="1" outline="0" fieldPosition="0"/>
    </format>
    <format dxfId="6">
      <pivotArea field="1" type="button" dataOnly="0" labelOnly="1" outline="0" axis="axisRow" fieldPosition="0"/>
    </format>
    <format dxfId="5">
      <pivotArea field="5" type="button" dataOnly="0" labelOnly="1" outline="0" axis="axisRow" fieldPosition="1"/>
    </format>
    <format dxfId="4">
      <pivotArea dataOnly="0" labelOnly="1" outline="0" fieldPosition="0">
        <references count="1">
          <reference field="4" count="0"/>
        </references>
      </pivotArea>
    </format>
    <format dxfId="3">
      <pivotArea dataOnly="0" labelOnly="1" grandCol="1" outline="0" fieldPosition="0"/>
    </format>
  </formats>
  <chartFormats count="3">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75BACB-67DB-4C44-82B5-D220F19DE799}" name="PivotTable5"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F25" firstHeaderRow="0" firstDataRow="1" firstDataCol="2"/>
  <pivotFields count="39">
    <pivotField compact="0" outline="0" showAll="0" defaultSubtotal="0"/>
    <pivotField axis="axisRow" compact="0" numFmtId="14" outline="0" showAll="0" defaultSubtotal="0">
      <items count="21">
        <item x="0"/>
        <item x="1"/>
        <item x="2"/>
        <item x="3"/>
        <item x="4"/>
        <item x="5"/>
        <item x="6"/>
        <item x="7"/>
        <item x="8"/>
        <item x="9"/>
        <item x="10"/>
        <item x="11"/>
        <item x="12"/>
        <item x="13"/>
        <item x="14"/>
        <item x="15"/>
        <item x="16"/>
        <item x="17"/>
        <item x="18"/>
        <item x="19"/>
        <item x="20"/>
      </items>
    </pivotField>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dataField="1" compact="0" outline="0" showAll="0" defaultSubtotal="0"/>
    <pivotField dataField="1"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numFmtId="167"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numFmtId="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1"/>
    <field x="5"/>
  </rowFields>
  <rowItems count="22">
    <i>
      <x/>
      <x/>
    </i>
    <i>
      <x v="1"/>
      <x/>
    </i>
    <i>
      <x v="2"/>
      <x/>
    </i>
    <i>
      <x v="3"/>
      <x/>
    </i>
    <i>
      <x v="4"/>
      <x/>
    </i>
    <i>
      <x v="5"/>
      <x/>
    </i>
    <i>
      <x v="6"/>
      <x/>
    </i>
    <i>
      <x v="7"/>
      <x/>
    </i>
    <i>
      <x v="8"/>
      <x/>
    </i>
    <i>
      <x v="9"/>
      <x/>
    </i>
    <i>
      <x v="10"/>
      <x/>
    </i>
    <i>
      <x v="11"/>
      <x/>
    </i>
    <i>
      <x v="12"/>
      <x/>
    </i>
    <i>
      <x v="13"/>
      <x/>
    </i>
    <i>
      <x v="14"/>
      <x/>
    </i>
    <i>
      <x v="15"/>
      <x/>
    </i>
    <i>
      <x v="16"/>
      <x/>
    </i>
    <i>
      <x v="17"/>
      <x/>
    </i>
    <i>
      <x v="18"/>
      <x/>
    </i>
    <i>
      <x v="19"/>
      <x/>
    </i>
    <i>
      <x v="20"/>
      <x/>
    </i>
    <i t="grand">
      <x/>
    </i>
  </rowItems>
  <colFields count="1">
    <field x="-2"/>
  </colFields>
  <colItems count="4">
    <i>
      <x/>
    </i>
    <i i="1">
      <x v="1"/>
    </i>
    <i i="2">
      <x v="2"/>
    </i>
    <i i="3">
      <x v="3"/>
    </i>
  </colItems>
  <dataFields count="4">
    <dataField name="Sum of Capacity" fld="9" baseField="0" baseItem="0"/>
    <dataField name="Sum of Received" fld="6" baseField="0" baseItem="0"/>
    <dataField name="Sum of Received Inspected" fld="7" baseField="0" baseItem="0"/>
    <dataField name="Sum of Not Inspected" fld="10" baseField="0" baseItem="0"/>
  </dataFields>
  <formats count="3">
    <format dxfId="2">
      <pivotArea field="1" type="button" dataOnly="0" labelOnly="1" outline="0" axis="axisRow" fieldPosition="0"/>
    </format>
    <format dxfId="1">
      <pivotArea field="5" type="button" dataOnly="0" labelOnly="1" outline="0" axis="axisRow" fieldPosition="1"/>
    </format>
    <format dxfId="0">
      <pivotArea dataOnly="0" labelOnly="1" outline="0" fieldPosition="0">
        <references count="1">
          <reference field="4294967294" count="4">
            <x v="0"/>
            <x v="1"/>
            <x v="2"/>
            <x v="3"/>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2"/>
          </reference>
        </references>
      </pivotArea>
    </chartFormat>
    <chartFormat chart="9"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783AE-F49B-46DF-B988-E7F0F8CC81AF}">
  <dimension ref="A1:E113"/>
  <sheetViews>
    <sheetView tabSelected="1" workbookViewId="0">
      <selection activeCell="C55" sqref="C55"/>
    </sheetView>
  </sheetViews>
  <sheetFormatPr baseColWidth="10" defaultColWidth="8.83203125" defaultRowHeight="15"/>
  <cols>
    <col min="1" max="1" width="9.33203125" customWidth="1"/>
    <col min="2" max="2" width="24.5" customWidth="1"/>
    <col min="3" max="3" width="58.33203125" customWidth="1"/>
    <col min="4" max="4" width="46.5" customWidth="1"/>
  </cols>
  <sheetData>
    <row r="1" spans="1:5" ht="21">
      <c r="A1" s="1" t="s">
        <v>0</v>
      </c>
      <c r="C1" s="2" t="s">
        <v>1</v>
      </c>
      <c r="D1" s="14" t="s">
        <v>157</v>
      </c>
      <c r="E1" s="14" t="s">
        <v>145</v>
      </c>
    </row>
    <row r="3" spans="1:5">
      <c r="A3" s="2" t="s">
        <v>2</v>
      </c>
    </row>
    <row r="4" spans="1:5">
      <c r="B4" t="s">
        <v>3</v>
      </c>
      <c r="C4" s="3" t="s">
        <v>900</v>
      </c>
    </row>
    <row r="5" spans="1:5">
      <c r="B5" t="s">
        <v>4</v>
      </c>
      <c r="C5" t="s">
        <v>5</v>
      </c>
    </row>
    <row r="6" spans="1:5">
      <c r="B6" t="s">
        <v>6</v>
      </c>
      <c r="C6" s="4">
        <v>45384</v>
      </c>
    </row>
    <row r="7" spans="1:5">
      <c r="B7" t="s">
        <v>7</v>
      </c>
      <c r="C7" s="4" t="s">
        <v>8</v>
      </c>
    </row>
    <row r="8" spans="1:5">
      <c r="B8" t="s">
        <v>9</v>
      </c>
      <c r="C8" t="s">
        <v>10</v>
      </c>
    </row>
    <row r="9" spans="1:5">
      <c r="B9" t="s">
        <v>11</v>
      </c>
      <c r="C9" s="4" t="s">
        <v>12</v>
      </c>
    </row>
    <row r="10" spans="1:5">
      <c r="C10" s="4" t="s">
        <v>13</v>
      </c>
    </row>
    <row r="11" spans="1:5">
      <c r="C11" s="4"/>
    </row>
    <row r="12" spans="1:5">
      <c r="A12" s="2" t="s">
        <v>14</v>
      </c>
    </row>
    <row r="13" spans="1:5">
      <c r="A13">
        <v>1</v>
      </c>
      <c r="B13" s="3" t="s">
        <v>15</v>
      </c>
      <c r="C13" s="3"/>
    </row>
    <row r="14" spans="1:5">
      <c r="A14">
        <v>2</v>
      </c>
      <c r="B14" s="3" t="s">
        <v>16</v>
      </c>
      <c r="C14" s="3"/>
    </row>
    <row r="15" spans="1:5">
      <c r="A15">
        <v>3</v>
      </c>
      <c r="B15" s="3" t="s">
        <v>17</v>
      </c>
      <c r="C15" s="3"/>
    </row>
    <row r="16" spans="1:5">
      <c r="A16">
        <v>4</v>
      </c>
      <c r="B16" s="3" t="s">
        <v>18</v>
      </c>
      <c r="C16" s="3"/>
    </row>
    <row r="17" spans="1:3">
      <c r="A17">
        <v>5</v>
      </c>
      <c r="B17" s="3" t="s">
        <v>19</v>
      </c>
      <c r="C17" s="3"/>
    </row>
    <row r="18" spans="1:3">
      <c r="A18">
        <v>6</v>
      </c>
      <c r="B18" s="3" t="s">
        <v>20</v>
      </c>
      <c r="C18" s="3"/>
    </row>
    <row r="19" spans="1:3">
      <c r="A19">
        <v>7</v>
      </c>
      <c r="B19" s="3" t="s">
        <v>21</v>
      </c>
      <c r="C19" s="3"/>
    </row>
    <row r="20" spans="1:3">
      <c r="A20">
        <v>9</v>
      </c>
      <c r="B20" s="3" t="s">
        <v>22</v>
      </c>
      <c r="C20" s="3"/>
    </row>
    <row r="21" spans="1:3">
      <c r="A21">
        <v>10</v>
      </c>
      <c r="B21" s="3" t="s">
        <v>23</v>
      </c>
      <c r="C21" s="3"/>
    </row>
    <row r="22" spans="1:3">
      <c r="B22" s="3"/>
      <c r="C22" s="3"/>
    </row>
    <row r="23" spans="1:3">
      <c r="B23" s="3"/>
      <c r="C23" s="3"/>
    </row>
    <row r="24" spans="1:3">
      <c r="A24" s="2" t="s">
        <v>24</v>
      </c>
      <c r="C24" s="3"/>
    </row>
    <row r="25" spans="1:3">
      <c r="A25">
        <v>1</v>
      </c>
      <c r="B25" t="s">
        <v>901</v>
      </c>
      <c r="C25" s="3"/>
    </row>
    <row r="26" spans="1:3">
      <c r="A26">
        <v>2</v>
      </c>
      <c r="B26" t="s">
        <v>902</v>
      </c>
      <c r="C26" s="3"/>
    </row>
    <row r="27" spans="1:3">
      <c r="A27">
        <v>3</v>
      </c>
      <c r="B27" t="s">
        <v>903</v>
      </c>
      <c r="C27" s="3"/>
    </row>
    <row r="28" spans="1:3">
      <c r="C28" s="3"/>
    </row>
    <row r="29" spans="1:3">
      <c r="A29" s="2" t="s">
        <v>25</v>
      </c>
      <c r="C29" s="3" t="s">
        <v>26</v>
      </c>
    </row>
    <row r="30" spans="1:3">
      <c r="A30">
        <v>1</v>
      </c>
      <c r="B30" t="s">
        <v>27</v>
      </c>
      <c r="C30" s="3"/>
    </row>
    <row r="31" spans="1:3">
      <c r="A31">
        <v>2</v>
      </c>
      <c r="B31" t="s">
        <v>28</v>
      </c>
      <c r="C31" s="3"/>
    </row>
    <row r="32" spans="1:3">
      <c r="A32">
        <v>3</v>
      </c>
      <c r="B32" t="s">
        <v>29</v>
      </c>
      <c r="C32" s="3"/>
    </row>
    <row r="33" spans="1:4">
      <c r="C33" s="3"/>
    </row>
    <row r="34" spans="1:4">
      <c r="A34" s="2" t="s">
        <v>30</v>
      </c>
      <c r="C34" s="3"/>
    </row>
    <row r="35" spans="1:4">
      <c r="A35">
        <v>1</v>
      </c>
      <c r="B35" t="s">
        <v>31</v>
      </c>
      <c r="C35" s="3"/>
    </row>
    <row r="36" spans="1:4">
      <c r="A36">
        <v>2</v>
      </c>
      <c r="B36" t="s">
        <v>32</v>
      </c>
      <c r="C36" s="3"/>
    </row>
    <row r="37" spans="1:4">
      <c r="A37">
        <v>3</v>
      </c>
      <c r="B37" t="s">
        <v>33</v>
      </c>
      <c r="C37" s="3"/>
    </row>
    <row r="38" spans="1:4">
      <c r="A38">
        <v>4</v>
      </c>
      <c r="B38" t="s">
        <v>34</v>
      </c>
      <c r="C38" s="3"/>
    </row>
    <row r="39" spans="1:4">
      <c r="A39">
        <v>5</v>
      </c>
      <c r="B39" t="s">
        <v>35</v>
      </c>
      <c r="C39" s="3"/>
    </row>
    <row r="40" spans="1:4">
      <c r="C40" s="3"/>
    </row>
    <row r="41" spans="1:4">
      <c r="A41" s="2" t="s">
        <v>36</v>
      </c>
      <c r="C41" s="3"/>
    </row>
    <row r="42" spans="1:4">
      <c r="A42" s="2"/>
      <c r="B42" t="s">
        <v>37</v>
      </c>
      <c r="C42" s="3"/>
    </row>
    <row r="43" spans="1:4">
      <c r="A43" s="2"/>
      <c r="B43" t="s">
        <v>38</v>
      </c>
      <c r="C43" s="3"/>
    </row>
    <row r="44" spans="1:4">
      <c r="A44" s="2"/>
      <c r="B44" t="s">
        <v>39</v>
      </c>
      <c r="C44" s="3"/>
    </row>
    <row r="45" spans="1:4">
      <c r="C45" s="3"/>
    </row>
    <row r="46" spans="1:4">
      <c r="A46" s="2" t="s">
        <v>40</v>
      </c>
    </row>
    <row r="47" spans="1:4">
      <c r="A47" s="5" t="s">
        <v>41</v>
      </c>
      <c r="B47" s="5" t="s">
        <v>42</v>
      </c>
      <c r="C47" s="5" t="s">
        <v>43</v>
      </c>
      <c r="D47" s="5" t="s">
        <v>44</v>
      </c>
    </row>
    <row r="48" spans="1:4" ht="32">
      <c r="A48">
        <v>1</v>
      </c>
      <c r="B48" s="3" t="s">
        <v>867</v>
      </c>
      <c r="C48" s="4">
        <v>45854</v>
      </c>
      <c r="D48" s="27" t="s">
        <v>872</v>
      </c>
    </row>
    <row r="49" spans="1:4" ht="16">
      <c r="A49">
        <v>2</v>
      </c>
      <c r="B49" s="3" t="s">
        <v>868</v>
      </c>
      <c r="C49" s="4">
        <v>45855</v>
      </c>
      <c r="D49" s="27" t="s">
        <v>873</v>
      </c>
    </row>
    <row r="50" spans="1:4" ht="16">
      <c r="A50">
        <v>3</v>
      </c>
      <c r="B50" s="3" t="s">
        <v>869</v>
      </c>
      <c r="C50" s="4">
        <v>45861</v>
      </c>
      <c r="D50" s="27" t="s">
        <v>874</v>
      </c>
    </row>
    <row r="51" spans="1:4" ht="32">
      <c r="A51">
        <v>4</v>
      </c>
      <c r="B51" s="3" t="s">
        <v>870</v>
      </c>
      <c r="C51" s="4">
        <v>45868</v>
      </c>
      <c r="D51" s="27" t="s">
        <v>871</v>
      </c>
    </row>
    <row r="52" spans="1:4" ht="16">
      <c r="A52">
        <v>5</v>
      </c>
      <c r="B52" s="3" t="s">
        <v>875</v>
      </c>
      <c r="C52" s="4">
        <v>45869</v>
      </c>
      <c r="D52" s="27" t="s">
        <v>899</v>
      </c>
    </row>
    <row r="53" spans="1:4" ht="16">
      <c r="A53">
        <v>6</v>
      </c>
      <c r="B53" s="3" t="s">
        <v>935</v>
      </c>
      <c r="C53" s="4">
        <v>45870</v>
      </c>
      <c r="D53" s="27" t="s">
        <v>876</v>
      </c>
    </row>
    <row r="54" spans="1:4">
      <c r="B54" s="3"/>
      <c r="C54" s="4"/>
      <c r="D54" s="27"/>
    </row>
    <row r="56" spans="1:4">
      <c r="A56" s="2" t="s">
        <v>45</v>
      </c>
    </row>
    <row r="57" spans="1:4">
      <c r="A57">
        <v>1</v>
      </c>
      <c r="B57" t="s">
        <v>46</v>
      </c>
    </row>
    <row r="58" spans="1:4">
      <c r="A58">
        <v>2</v>
      </c>
      <c r="B58" t="s">
        <v>47</v>
      </c>
    </row>
    <row r="59" spans="1:4">
      <c r="A59">
        <v>3</v>
      </c>
      <c r="B59" t="s">
        <v>48</v>
      </c>
    </row>
    <row r="60" spans="1:4">
      <c r="A60">
        <v>4</v>
      </c>
      <c r="B60" s="33" t="s">
        <v>904</v>
      </c>
      <c r="C60" s="33"/>
    </row>
    <row r="61" spans="1:4">
      <c r="A61">
        <v>5</v>
      </c>
      <c r="B61" s="33" t="s">
        <v>905</v>
      </c>
      <c r="C61" s="33"/>
    </row>
    <row r="62" spans="1:4">
      <c r="A62">
        <v>6</v>
      </c>
      <c r="B62" s="33" t="s">
        <v>906</v>
      </c>
      <c r="C62" s="33"/>
      <c r="D62" s="33"/>
    </row>
    <row r="63" spans="1:4">
      <c r="A63">
        <v>7</v>
      </c>
      <c r="B63" s="29" t="s">
        <v>932</v>
      </c>
      <c r="C63" s="29"/>
      <c r="D63" s="29"/>
    </row>
    <row r="65" spans="1:3">
      <c r="A65" s="2" t="s">
        <v>49</v>
      </c>
    </row>
    <row r="66" spans="1:3">
      <c r="A66" s="5" t="s">
        <v>41</v>
      </c>
      <c r="B66" s="5" t="s">
        <v>50</v>
      </c>
      <c r="C66" s="5" t="s">
        <v>51</v>
      </c>
    </row>
    <row r="67" spans="1:3">
      <c r="A67">
        <v>1</v>
      </c>
      <c r="B67" s="6" t="s">
        <v>52</v>
      </c>
      <c r="C67" t="s">
        <v>53</v>
      </c>
    </row>
    <row r="68" spans="1:3">
      <c r="A68">
        <v>2</v>
      </c>
      <c r="B68" s="6" t="s">
        <v>878</v>
      </c>
      <c r="C68" t="s">
        <v>879</v>
      </c>
    </row>
    <row r="69" spans="1:3">
      <c r="A69">
        <v>3</v>
      </c>
      <c r="B69" s="6" t="s">
        <v>798</v>
      </c>
      <c r="C69" t="s">
        <v>877</v>
      </c>
    </row>
    <row r="70" spans="1:3">
      <c r="A70">
        <v>4</v>
      </c>
      <c r="B70" s="6" t="s">
        <v>840</v>
      </c>
      <c r="C70" t="s">
        <v>880</v>
      </c>
    </row>
    <row r="71" spans="1:3">
      <c r="A71">
        <v>5</v>
      </c>
      <c r="B71" s="6" t="s">
        <v>865</v>
      </c>
      <c r="C71" t="s">
        <v>881</v>
      </c>
    </row>
    <row r="72" spans="1:3">
      <c r="A72">
        <v>6</v>
      </c>
      <c r="B72" s="6" t="s">
        <v>803</v>
      </c>
      <c r="C72" t="s">
        <v>882</v>
      </c>
    </row>
    <row r="73" spans="1:3">
      <c r="A73">
        <v>7</v>
      </c>
      <c r="B73" s="6" t="s">
        <v>804</v>
      </c>
      <c r="C73" t="s">
        <v>883</v>
      </c>
    </row>
    <row r="74" spans="1:3">
      <c r="A74">
        <v>8</v>
      </c>
      <c r="B74" s="6" t="s">
        <v>805</v>
      </c>
      <c r="C74" t="s">
        <v>884</v>
      </c>
    </row>
    <row r="75" spans="1:3">
      <c r="A75">
        <v>9</v>
      </c>
      <c r="B75" s="6" t="s">
        <v>806</v>
      </c>
      <c r="C75" t="s">
        <v>885</v>
      </c>
    </row>
    <row r="76" spans="1:3">
      <c r="A76">
        <v>10</v>
      </c>
      <c r="B76" s="6" t="s">
        <v>807</v>
      </c>
      <c r="C76" t="s">
        <v>886</v>
      </c>
    </row>
    <row r="77" spans="1:3">
      <c r="A77">
        <v>11</v>
      </c>
      <c r="B77" s="6" t="s">
        <v>54</v>
      </c>
      <c r="C77" t="s">
        <v>55</v>
      </c>
    </row>
    <row r="78" spans="1:3">
      <c r="A78">
        <v>12</v>
      </c>
      <c r="B78" s="6" t="s">
        <v>56</v>
      </c>
      <c r="C78" t="s">
        <v>57</v>
      </c>
    </row>
    <row r="79" spans="1:3">
      <c r="C79" t="s">
        <v>58</v>
      </c>
    </row>
    <row r="80" spans="1:3">
      <c r="C80" t="s">
        <v>59</v>
      </c>
    </row>
    <row r="81" spans="1:3">
      <c r="A81">
        <v>13</v>
      </c>
      <c r="B81" s="6" t="s">
        <v>60</v>
      </c>
      <c r="C81" t="s">
        <v>61</v>
      </c>
    </row>
    <row r="82" spans="1:3">
      <c r="C82" t="s">
        <v>62</v>
      </c>
    </row>
    <row r="83" spans="1:3">
      <c r="C83" t="s">
        <v>63</v>
      </c>
    </row>
    <row r="84" spans="1:3">
      <c r="A84">
        <v>14</v>
      </c>
      <c r="B84" s="6" t="s">
        <v>64</v>
      </c>
      <c r="C84" t="s">
        <v>61</v>
      </c>
    </row>
    <row r="85" spans="1:3">
      <c r="C85" t="s">
        <v>65</v>
      </c>
    </row>
    <row r="86" spans="1:3">
      <c r="C86" t="s">
        <v>63</v>
      </c>
    </row>
    <row r="88" spans="1:3">
      <c r="C88" s="7"/>
    </row>
    <row r="89" spans="1:3">
      <c r="C89" s="7"/>
    </row>
    <row r="90" spans="1:3">
      <c r="C90" s="7"/>
    </row>
    <row r="91" spans="1:3">
      <c r="C91" s="7"/>
    </row>
    <row r="98" spans="2:2">
      <c r="B98" s="8"/>
    </row>
    <row r="113" spans="2:2">
      <c r="B113" s="8"/>
    </row>
  </sheetData>
  <mergeCells count="3">
    <mergeCell ref="B60:C60"/>
    <mergeCell ref="B61:C61"/>
    <mergeCell ref="B62:D62"/>
  </mergeCells>
  <hyperlinks>
    <hyperlink ref="B67" location="ReadMeFirst!A1" display="ReadMeFirst" xr:uid="{29F11C03-D4C3-4936-805E-6729AFCF6DA1}"/>
    <hyperlink ref="B69" location="'5 Why''s'!A1" display="5 Why's" xr:uid="{E6609962-6358-A44C-B26F-9CF01EA546B5}"/>
    <hyperlink ref="B70" location="'Line B Dataset'!A1" display="Line B Dataset" xr:uid="{8F9FC1AB-1873-AE40-A737-ED4204F0491C}"/>
    <hyperlink ref="B71" location="'Line B - Shift 3'!A1" display="Line B - Shift 3" xr:uid="{78FC6601-257B-1746-BD0C-350BE752F03B}"/>
    <hyperlink ref="B72" location="'Level 0'!A1" display="Level 0" xr:uid="{04D9C56E-5FF0-914F-B0D2-F41DD489F80D}"/>
    <hyperlink ref="B73" location="'Level 1'!A1" display="Level 1" xr:uid="{CD2CF653-D31C-3A43-A492-37DDE39456CE}"/>
    <hyperlink ref="B74" location="'Level 2'!A1" display="Level 2" xr:uid="{8AF2CE6A-7EC2-BE45-8564-BC36F6DEB9EB}"/>
    <hyperlink ref="B75" location="'Level 3'!A1" display="Level 3" xr:uid="{483C7408-BFB3-B744-917E-E6BA32ABE8C1}"/>
    <hyperlink ref="B76" location="'Level 4'!A1" display="Level 4" xr:uid="{4ACDA26A-9AD7-5842-9C55-55E0B2BAF5F6}"/>
    <hyperlink ref="B77" location="'Other Lists'!A1" display="Other Lists" xr:uid="{43D63C76-9D8F-AB4F-AD64-551C1823621E}"/>
    <hyperlink ref="B78" location="'Inspect DM'!A1" display="Inspect DM" xr:uid="{00DCA6FC-BE4F-F84E-B987-566EB133C173}"/>
    <hyperlink ref="B81" location="'A Batches'!A1" display="A Batches" xr:uid="{084386F8-0065-7A44-9775-BFA76E803BE8}"/>
    <hyperlink ref="B84" location="'B Batches'!A1" display="B Batches" xr:uid="{147371D5-AF17-A645-8BCA-CDF485D7BBFA}"/>
    <hyperlink ref="B68" location="'Needs+Insights'!A1" display="Needs+Insights" xr:uid="{B69DE0CE-B4EF-3B46-AF37-94EBC08A2102}"/>
  </hyperlink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65F4-63F7-E645-B2B8-A9620BD89FEC}">
  <dimension ref="A1:I34"/>
  <sheetViews>
    <sheetView zoomScale="150" workbookViewId="0">
      <selection activeCell="A4" sqref="A4:I7"/>
    </sheetView>
  </sheetViews>
  <sheetFormatPr baseColWidth="10" defaultRowHeight="15"/>
  <cols>
    <col min="1" max="1" width="14.33203125" customWidth="1"/>
    <col min="9" max="9" width="22" customWidth="1"/>
  </cols>
  <sheetData>
    <row r="1" spans="1:9" ht="19">
      <c r="A1" s="41" t="s">
        <v>887</v>
      </c>
      <c r="B1" s="41"/>
      <c r="C1" s="41"/>
      <c r="D1" s="41"/>
      <c r="E1" s="41"/>
      <c r="F1" s="41"/>
      <c r="G1" s="41"/>
      <c r="H1" s="41"/>
      <c r="I1" s="41"/>
    </row>
    <row r="3" spans="1:9" ht="16">
      <c r="A3" s="34" t="s">
        <v>888</v>
      </c>
      <c r="B3" s="34"/>
      <c r="C3" s="34"/>
      <c r="D3" s="34"/>
      <c r="E3" s="34"/>
      <c r="F3" s="34"/>
      <c r="G3" s="34"/>
      <c r="H3" s="34"/>
      <c r="I3" s="34"/>
    </row>
    <row r="4" spans="1:9">
      <c r="A4" s="28" t="s">
        <v>909</v>
      </c>
      <c r="B4" s="42" t="s">
        <v>145</v>
      </c>
      <c r="C4" s="42"/>
      <c r="D4" s="42"/>
      <c r="E4" s="42"/>
      <c r="F4" s="42"/>
      <c r="G4" s="42"/>
      <c r="H4" s="42"/>
      <c r="I4" s="42"/>
    </row>
    <row r="5" spans="1:9">
      <c r="A5" s="28" t="s">
        <v>910</v>
      </c>
      <c r="B5" s="42">
        <v>3</v>
      </c>
      <c r="C5" s="42"/>
      <c r="D5" s="42"/>
      <c r="E5" s="42"/>
      <c r="F5" s="42"/>
      <c r="G5" s="42"/>
      <c r="H5" s="42"/>
      <c r="I5" s="42"/>
    </row>
    <row r="6" spans="1:9">
      <c r="A6" s="28" t="s">
        <v>911</v>
      </c>
      <c r="B6" s="42" t="s">
        <v>912</v>
      </c>
      <c r="C6" s="42"/>
      <c r="D6" s="42"/>
      <c r="E6" s="42"/>
      <c r="F6" s="42"/>
      <c r="G6" s="42"/>
      <c r="H6" s="42"/>
      <c r="I6" s="42"/>
    </row>
    <row r="7" spans="1:9">
      <c r="A7" s="28" t="s">
        <v>799</v>
      </c>
      <c r="B7" s="35" t="s">
        <v>800</v>
      </c>
      <c r="C7" s="35"/>
      <c r="D7" s="35"/>
      <c r="E7" s="35"/>
      <c r="F7" s="35"/>
      <c r="G7" s="35"/>
      <c r="H7" s="35"/>
      <c r="I7" s="35"/>
    </row>
    <row r="8" spans="1:9">
      <c r="A8" s="28" t="s">
        <v>818</v>
      </c>
      <c r="B8" s="42" t="s">
        <v>913</v>
      </c>
      <c r="C8" s="42"/>
      <c r="D8" s="42"/>
      <c r="E8" s="42"/>
      <c r="F8" s="42"/>
      <c r="G8" s="42"/>
      <c r="H8" s="42"/>
      <c r="I8" s="42"/>
    </row>
    <row r="10" spans="1:9" ht="16">
      <c r="A10" s="34" t="s">
        <v>894</v>
      </c>
      <c r="B10" s="34"/>
      <c r="C10" s="34"/>
      <c r="D10" s="34"/>
      <c r="E10" s="34"/>
      <c r="F10" s="34"/>
      <c r="G10" s="34"/>
      <c r="H10" s="34"/>
      <c r="I10" s="34"/>
    </row>
    <row r="11" spans="1:9" ht="83" customHeight="1">
      <c r="A11" s="35" t="s">
        <v>920</v>
      </c>
      <c r="B11" s="35"/>
      <c r="C11" s="35"/>
      <c r="D11" s="35"/>
      <c r="E11" s="35"/>
      <c r="F11" s="35"/>
      <c r="G11" s="35"/>
      <c r="H11" s="35"/>
      <c r="I11" s="35"/>
    </row>
    <row r="13" spans="1:9" ht="16">
      <c r="A13" s="34" t="s">
        <v>889</v>
      </c>
      <c r="B13" s="34"/>
      <c r="C13" s="34"/>
      <c r="D13" s="34"/>
      <c r="E13" s="34"/>
      <c r="F13" s="34"/>
      <c r="G13" s="34"/>
      <c r="H13" s="34"/>
      <c r="I13" s="34"/>
    </row>
    <row r="14" spans="1:9">
      <c r="A14" s="37" t="s">
        <v>895</v>
      </c>
      <c r="B14" s="37"/>
      <c r="C14" s="37"/>
      <c r="D14" s="37"/>
      <c r="E14" s="37"/>
      <c r="F14" s="37"/>
      <c r="G14" s="37"/>
      <c r="H14" s="37"/>
      <c r="I14" s="37"/>
    </row>
    <row r="15" spans="1:9">
      <c r="A15" s="37" t="s">
        <v>896</v>
      </c>
      <c r="B15" s="37"/>
      <c r="C15" s="37"/>
      <c r="D15" s="37"/>
      <c r="E15" s="37"/>
      <c r="F15" s="37"/>
      <c r="G15" s="37"/>
      <c r="H15" s="37"/>
      <c r="I15" s="37"/>
    </row>
    <row r="16" spans="1:9">
      <c r="A16" s="37" t="s">
        <v>897</v>
      </c>
      <c r="B16" s="37"/>
      <c r="C16" s="37"/>
      <c r="D16" s="37"/>
      <c r="E16" s="37"/>
      <c r="F16" s="37"/>
      <c r="G16" s="37"/>
      <c r="H16" s="37"/>
      <c r="I16" s="37"/>
    </row>
    <row r="17" spans="1:9">
      <c r="A17" s="37" t="s">
        <v>898</v>
      </c>
      <c r="B17" s="37"/>
      <c r="C17" s="37"/>
      <c r="D17" s="37"/>
      <c r="E17" s="37"/>
      <c r="F17" s="37"/>
      <c r="G17" s="37"/>
      <c r="H17" s="37"/>
      <c r="I17" s="37"/>
    </row>
    <row r="19" spans="1:9" ht="16">
      <c r="A19" s="34" t="s">
        <v>914</v>
      </c>
      <c r="B19" s="34"/>
      <c r="C19" s="34"/>
      <c r="D19" s="34"/>
      <c r="E19" s="34"/>
      <c r="F19" s="34"/>
      <c r="G19" s="34"/>
      <c r="H19" s="34"/>
      <c r="I19" s="34"/>
    </row>
    <row r="20" spans="1:9">
      <c r="A20" s="37" t="s">
        <v>915</v>
      </c>
      <c r="B20" s="37"/>
      <c r="C20" s="37"/>
      <c r="D20" s="37"/>
      <c r="E20" s="37"/>
      <c r="F20" s="37"/>
      <c r="G20" s="37"/>
      <c r="H20" s="37"/>
      <c r="I20" s="37"/>
    </row>
    <row r="21" spans="1:9">
      <c r="A21" s="37" t="s">
        <v>916</v>
      </c>
      <c r="B21" s="37"/>
      <c r="C21" s="37"/>
      <c r="D21" s="37"/>
      <c r="E21" s="37"/>
      <c r="F21" s="37"/>
      <c r="G21" s="37"/>
      <c r="H21" s="37"/>
      <c r="I21" s="37"/>
    </row>
    <row r="22" spans="1:9">
      <c r="A22" s="38" t="s">
        <v>917</v>
      </c>
      <c r="B22" s="39"/>
      <c r="C22" s="39"/>
      <c r="D22" s="39"/>
      <c r="E22" s="39"/>
      <c r="F22" s="39"/>
      <c r="G22" s="39"/>
      <c r="H22" s="39"/>
      <c r="I22" s="40"/>
    </row>
    <row r="23" spans="1:9">
      <c r="A23" s="38" t="s">
        <v>919</v>
      </c>
      <c r="B23" s="39"/>
      <c r="C23" s="39"/>
      <c r="D23" s="39"/>
      <c r="E23" s="39"/>
      <c r="F23" s="39"/>
      <c r="G23" s="39"/>
      <c r="H23" s="39"/>
      <c r="I23" s="40"/>
    </row>
    <row r="24" spans="1:9">
      <c r="A24" s="38" t="s">
        <v>918</v>
      </c>
      <c r="B24" s="39"/>
      <c r="C24" s="39"/>
      <c r="D24" s="39"/>
      <c r="E24" s="39"/>
      <c r="F24" s="39"/>
      <c r="G24" s="39"/>
      <c r="H24" s="39"/>
      <c r="I24" s="40"/>
    </row>
    <row r="26" spans="1:9" ht="16">
      <c r="A26" s="34" t="s">
        <v>846</v>
      </c>
      <c r="B26" s="34"/>
      <c r="C26" s="34"/>
      <c r="D26" s="34"/>
      <c r="E26" s="34"/>
      <c r="F26" s="34"/>
      <c r="G26" s="34"/>
      <c r="H26" s="34"/>
      <c r="I26" s="34"/>
    </row>
    <row r="28" spans="1:9">
      <c r="A28" s="36" t="s">
        <v>890</v>
      </c>
      <c r="B28" s="36"/>
      <c r="C28" s="36"/>
      <c r="D28" s="36"/>
      <c r="E28" s="36"/>
      <c r="F28" s="36"/>
      <c r="G28" s="36"/>
      <c r="H28" s="36"/>
      <c r="I28" s="36"/>
    </row>
    <row r="29" spans="1:9" ht="34" customHeight="1">
      <c r="A29" s="35" t="s">
        <v>891</v>
      </c>
      <c r="B29" s="35"/>
      <c r="C29" s="35"/>
      <c r="D29" s="35"/>
      <c r="E29" s="35"/>
      <c r="F29" s="35"/>
      <c r="G29" s="35"/>
      <c r="H29" s="35"/>
      <c r="I29" s="35"/>
    </row>
    <row r="30" spans="1:9" ht="241" customHeight="1">
      <c r="A30" s="34"/>
      <c r="B30" s="34"/>
      <c r="C30" s="34"/>
      <c r="D30" s="34"/>
      <c r="E30" s="34"/>
      <c r="F30" s="34"/>
      <c r="G30" s="34"/>
      <c r="H30" s="34"/>
      <c r="I30" s="34"/>
    </row>
    <row r="32" spans="1:9">
      <c r="A32" s="36" t="s">
        <v>892</v>
      </c>
      <c r="B32" s="36"/>
      <c r="C32" s="36"/>
      <c r="D32" s="36"/>
      <c r="E32" s="36"/>
      <c r="F32" s="36"/>
      <c r="G32" s="36"/>
      <c r="H32" s="36"/>
      <c r="I32" s="36"/>
    </row>
    <row r="33" spans="1:9" ht="36" customHeight="1">
      <c r="A33" s="35" t="s">
        <v>893</v>
      </c>
      <c r="B33" s="35"/>
      <c r="C33" s="35"/>
      <c r="D33" s="35"/>
      <c r="E33" s="35"/>
      <c r="F33" s="35"/>
      <c r="G33" s="35"/>
      <c r="H33" s="35"/>
      <c r="I33" s="35"/>
    </row>
    <row r="34" spans="1:9" ht="273" customHeight="1">
      <c r="A34" s="34"/>
      <c r="B34" s="34"/>
      <c r="C34" s="34"/>
      <c r="D34" s="34"/>
      <c r="E34" s="34"/>
      <c r="F34" s="34"/>
      <c r="G34" s="34"/>
      <c r="H34" s="34"/>
      <c r="I34" s="34"/>
    </row>
  </sheetData>
  <mergeCells count="27">
    <mergeCell ref="A30:I30"/>
    <mergeCell ref="A13:I13"/>
    <mergeCell ref="A1:I1"/>
    <mergeCell ref="A3:I3"/>
    <mergeCell ref="A10:I10"/>
    <mergeCell ref="A11:I11"/>
    <mergeCell ref="B4:I4"/>
    <mergeCell ref="B5:I5"/>
    <mergeCell ref="B6:I6"/>
    <mergeCell ref="B7:I7"/>
    <mergeCell ref="B8:I8"/>
    <mergeCell ref="A34:I34"/>
    <mergeCell ref="A29:I29"/>
    <mergeCell ref="A32:I32"/>
    <mergeCell ref="A33:I33"/>
    <mergeCell ref="A14:I14"/>
    <mergeCell ref="A15:I15"/>
    <mergeCell ref="A16:I16"/>
    <mergeCell ref="A17:I17"/>
    <mergeCell ref="A26:I26"/>
    <mergeCell ref="A28:I28"/>
    <mergeCell ref="A19:I19"/>
    <mergeCell ref="A20:I20"/>
    <mergeCell ref="A21:I21"/>
    <mergeCell ref="A22:I22"/>
    <mergeCell ref="A23:I23"/>
    <mergeCell ref="A24:I2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B969C-E4E2-1C45-B518-C58403FC14A9}">
  <dimension ref="A1:J60"/>
  <sheetViews>
    <sheetView zoomScale="150" workbookViewId="0">
      <selection activeCell="B3" sqref="B3:I3"/>
    </sheetView>
  </sheetViews>
  <sheetFormatPr baseColWidth="10" defaultRowHeight="15"/>
  <cols>
    <col min="1" max="1" width="12.5" bestFit="1" customWidth="1"/>
    <col min="2" max="2" width="18" customWidth="1"/>
    <col min="9" max="9" width="26.5" customWidth="1"/>
  </cols>
  <sheetData>
    <row r="1" spans="1:9" ht="19">
      <c r="A1" s="50" t="s">
        <v>798</v>
      </c>
      <c r="B1" s="50"/>
      <c r="C1" s="50"/>
      <c r="D1" s="50"/>
      <c r="E1" s="50"/>
      <c r="F1" s="50"/>
      <c r="G1" s="50"/>
      <c r="H1" s="50"/>
      <c r="I1" s="50"/>
    </row>
    <row r="3" spans="1:9" ht="30" customHeight="1">
      <c r="A3" s="20" t="s">
        <v>799</v>
      </c>
      <c r="B3" s="35" t="s">
        <v>800</v>
      </c>
      <c r="C3" s="35"/>
      <c r="D3" s="35"/>
      <c r="E3" s="35"/>
      <c r="F3" s="35"/>
      <c r="G3" s="35"/>
      <c r="H3" s="35"/>
      <c r="I3" s="35"/>
    </row>
    <row r="4" spans="1:9">
      <c r="A4" s="20" t="s">
        <v>801</v>
      </c>
      <c r="B4" s="37" t="s">
        <v>802</v>
      </c>
      <c r="C4" s="37"/>
      <c r="D4" s="37"/>
      <c r="E4" s="37"/>
      <c r="F4" s="37"/>
      <c r="G4" s="37"/>
      <c r="H4" s="37"/>
      <c r="I4" s="37"/>
    </row>
    <row r="6" spans="1:9" ht="33" customHeight="1">
      <c r="A6" s="20" t="s">
        <v>803</v>
      </c>
      <c r="B6" s="20" t="s">
        <v>808</v>
      </c>
      <c r="C6" s="35" t="s">
        <v>839</v>
      </c>
      <c r="D6" s="35"/>
      <c r="E6" s="35"/>
      <c r="F6" s="35"/>
      <c r="G6" s="35"/>
      <c r="H6" s="35"/>
      <c r="I6" s="35"/>
    </row>
    <row r="7" spans="1:9" ht="15" customHeight="1">
      <c r="A7" s="20" t="s">
        <v>804</v>
      </c>
      <c r="B7" s="20" t="s">
        <v>809</v>
      </c>
      <c r="C7" s="35" t="s">
        <v>837</v>
      </c>
      <c r="D7" s="35"/>
      <c r="E7" s="35"/>
      <c r="F7" s="35"/>
      <c r="G7" s="35"/>
      <c r="H7" s="35"/>
      <c r="I7" s="35"/>
    </row>
    <row r="8" spans="1:9" ht="18" customHeight="1">
      <c r="A8" s="20" t="s">
        <v>805</v>
      </c>
      <c r="B8" s="20" t="s">
        <v>810</v>
      </c>
      <c r="C8" s="35" t="s">
        <v>838</v>
      </c>
      <c r="D8" s="35"/>
      <c r="E8" s="35"/>
      <c r="F8" s="35"/>
      <c r="G8" s="35"/>
      <c r="H8" s="35"/>
      <c r="I8" s="35"/>
    </row>
    <row r="9" spans="1:9" ht="16" customHeight="1">
      <c r="A9" s="20" t="s">
        <v>806</v>
      </c>
      <c r="B9" s="20" t="s">
        <v>811</v>
      </c>
      <c r="C9" s="35" t="s">
        <v>836</v>
      </c>
      <c r="D9" s="35"/>
      <c r="E9" s="35"/>
      <c r="F9" s="35"/>
      <c r="G9" s="35"/>
      <c r="H9" s="35"/>
      <c r="I9" s="35"/>
    </row>
    <row r="10" spans="1:9">
      <c r="A10" s="20" t="s">
        <v>807</v>
      </c>
      <c r="B10" s="20" t="s">
        <v>404</v>
      </c>
      <c r="C10" s="35" t="s">
        <v>812</v>
      </c>
      <c r="D10" s="35"/>
      <c r="E10" s="35"/>
      <c r="F10" s="35"/>
      <c r="G10" s="35"/>
      <c r="H10" s="35"/>
      <c r="I10" s="35"/>
    </row>
    <row r="11" spans="1:9" ht="19">
      <c r="C11" s="21"/>
    </row>
    <row r="12" spans="1:9">
      <c r="A12" s="20" t="s">
        <v>803</v>
      </c>
      <c r="B12" s="42" t="s">
        <v>808</v>
      </c>
      <c r="C12" s="42"/>
      <c r="D12" s="42"/>
      <c r="E12" s="42"/>
      <c r="F12" s="42"/>
      <c r="G12" s="42"/>
      <c r="H12" s="42"/>
      <c r="I12" s="42"/>
    </row>
    <row r="13" spans="1:9">
      <c r="A13" s="20" t="s">
        <v>813</v>
      </c>
      <c r="B13" s="37" t="s">
        <v>847</v>
      </c>
      <c r="C13" s="37"/>
      <c r="D13" s="37"/>
      <c r="E13" s="37"/>
      <c r="F13" s="37"/>
      <c r="G13" s="37"/>
      <c r="H13" s="37"/>
      <c r="I13" s="37"/>
    </row>
    <row r="14" spans="1:9">
      <c r="A14" s="43" t="s">
        <v>814</v>
      </c>
      <c r="B14" s="35" t="s">
        <v>822</v>
      </c>
      <c r="C14" s="37"/>
      <c r="D14" s="37"/>
      <c r="E14" s="37"/>
      <c r="F14" s="37"/>
      <c r="G14" s="37"/>
      <c r="H14" s="37"/>
      <c r="I14" s="37"/>
    </row>
    <row r="15" spans="1:9">
      <c r="A15" s="44"/>
      <c r="B15" s="37"/>
      <c r="C15" s="37"/>
      <c r="D15" s="37"/>
      <c r="E15" s="37"/>
      <c r="F15" s="37"/>
      <c r="G15" s="37"/>
      <c r="H15" s="37"/>
      <c r="I15" s="37"/>
    </row>
    <row r="16" spans="1:9">
      <c r="A16" s="45"/>
      <c r="B16" s="37"/>
      <c r="C16" s="37"/>
      <c r="D16" s="37"/>
      <c r="E16" s="37"/>
      <c r="F16" s="37"/>
      <c r="G16" s="37"/>
      <c r="H16" s="37"/>
      <c r="I16" s="37"/>
    </row>
    <row r="17" spans="1:10">
      <c r="A17" s="20" t="s">
        <v>817</v>
      </c>
      <c r="B17" s="35" t="s">
        <v>823</v>
      </c>
      <c r="C17" s="37"/>
      <c r="D17" s="37"/>
      <c r="E17" s="37"/>
      <c r="F17" s="37"/>
      <c r="G17" s="37"/>
      <c r="H17" s="37"/>
      <c r="I17" s="37"/>
    </row>
    <row r="18" spans="1:10">
      <c r="A18" s="20" t="s">
        <v>818</v>
      </c>
      <c r="B18" s="46" t="s">
        <v>840</v>
      </c>
      <c r="C18" s="46"/>
      <c r="D18" s="46"/>
      <c r="E18" s="46"/>
      <c r="F18" s="46"/>
      <c r="G18" s="46"/>
      <c r="H18" s="46"/>
      <c r="I18" s="46"/>
    </row>
    <row r="19" spans="1:10" ht="98" customHeight="1">
      <c r="A19" s="20" t="s">
        <v>820</v>
      </c>
      <c r="B19" s="47" t="s">
        <v>922</v>
      </c>
      <c r="C19" s="48"/>
      <c r="D19" s="48"/>
      <c r="E19" s="48"/>
      <c r="F19" s="48"/>
      <c r="G19" s="48"/>
      <c r="H19" s="48"/>
      <c r="I19" s="49"/>
    </row>
    <row r="20" spans="1:10">
      <c r="A20" s="20" t="s">
        <v>819</v>
      </c>
      <c r="B20" s="46" t="s">
        <v>857</v>
      </c>
      <c r="C20" s="46"/>
      <c r="D20" s="46"/>
      <c r="E20" s="46"/>
      <c r="F20" s="46"/>
      <c r="G20" s="46"/>
      <c r="H20" s="46"/>
      <c r="I20" s="46"/>
      <c r="J20" s="6"/>
    </row>
    <row r="22" spans="1:10">
      <c r="A22" s="20" t="s">
        <v>804</v>
      </c>
      <c r="B22" s="42" t="s">
        <v>809</v>
      </c>
      <c r="C22" s="42"/>
      <c r="D22" s="42"/>
      <c r="E22" s="42"/>
      <c r="F22" s="42"/>
      <c r="G22" s="42"/>
      <c r="H22" s="42"/>
      <c r="I22" s="42"/>
    </row>
    <row r="23" spans="1:10">
      <c r="A23" s="20" t="s">
        <v>813</v>
      </c>
      <c r="B23" s="37" t="s">
        <v>821</v>
      </c>
      <c r="C23" s="37"/>
      <c r="D23" s="37"/>
      <c r="E23" s="37"/>
      <c r="F23" s="37"/>
      <c r="G23" s="37"/>
      <c r="H23" s="37"/>
      <c r="I23" s="37"/>
    </row>
    <row r="24" spans="1:10">
      <c r="A24" s="43" t="s">
        <v>814</v>
      </c>
      <c r="B24" s="35" t="s">
        <v>816</v>
      </c>
      <c r="C24" s="37"/>
      <c r="D24" s="37"/>
      <c r="E24" s="37"/>
      <c r="F24" s="37"/>
      <c r="G24" s="37"/>
      <c r="H24" s="37"/>
      <c r="I24" s="37"/>
    </row>
    <row r="25" spans="1:10">
      <c r="A25" s="44"/>
      <c r="B25" s="37"/>
      <c r="C25" s="37"/>
      <c r="D25" s="37"/>
      <c r="E25" s="37"/>
      <c r="F25" s="37"/>
      <c r="G25" s="37"/>
      <c r="H25" s="37"/>
      <c r="I25" s="37"/>
    </row>
    <row r="26" spans="1:10">
      <c r="A26" s="45"/>
      <c r="B26" s="37"/>
      <c r="C26" s="37"/>
      <c r="D26" s="37"/>
      <c r="E26" s="37"/>
      <c r="F26" s="37"/>
      <c r="G26" s="37"/>
      <c r="H26" s="37"/>
      <c r="I26" s="37"/>
    </row>
    <row r="27" spans="1:10">
      <c r="A27" s="20" t="s">
        <v>817</v>
      </c>
      <c r="B27" s="35" t="s">
        <v>815</v>
      </c>
      <c r="C27" s="37"/>
      <c r="D27" s="37"/>
      <c r="E27" s="37"/>
      <c r="F27" s="37"/>
      <c r="G27" s="37"/>
      <c r="H27" s="37"/>
      <c r="I27" s="37"/>
    </row>
    <row r="28" spans="1:10">
      <c r="A28" s="20" t="s">
        <v>818</v>
      </c>
      <c r="B28" s="46" t="s">
        <v>840</v>
      </c>
      <c r="C28" s="46"/>
      <c r="D28" s="46"/>
      <c r="E28" s="46"/>
      <c r="F28" s="46"/>
      <c r="G28" s="46"/>
      <c r="H28" s="46"/>
      <c r="I28" s="46"/>
    </row>
    <row r="29" spans="1:10" ht="65" customHeight="1">
      <c r="A29" s="20" t="s">
        <v>820</v>
      </c>
      <c r="B29" s="35" t="s">
        <v>923</v>
      </c>
      <c r="C29" s="37"/>
      <c r="D29" s="37"/>
      <c r="E29" s="37"/>
      <c r="F29" s="37"/>
      <c r="G29" s="37"/>
      <c r="H29" s="37"/>
      <c r="I29" s="37"/>
    </row>
    <row r="30" spans="1:10">
      <c r="A30" s="20" t="s">
        <v>819</v>
      </c>
      <c r="B30" s="46" t="s">
        <v>856</v>
      </c>
      <c r="C30" s="46"/>
      <c r="D30" s="46"/>
      <c r="E30" s="46"/>
      <c r="F30" s="46"/>
      <c r="G30" s="46"/>
      <c r="H30" s="46"/>
      <c r="I30" s="46"/>
    </row>
    <row r="32" spans="1:10">
      <c r="A32" s="20" t="s">
        <v>805</v>
      </c>
      <c r="B32" s="42" t="s">
        <v>810</v>
      </c>
      <c r="C32" s="42"/>
      <c r="D32" s="42"/>
      <c r="E32" s="42"/>
      <c r="F32" s="42"/>
      <c r="G32" s="42"/>
      <c r="H32" s="42"/>
      <c r="I32" s="42"/>
    </row>
    <row r="33" spans="1:9">
      <c r="A33" s="20" t="s">
        <v>813</v>
      </c>
      <c r="B33" s="37" t="s">
        <v>824</v>
      </c>
      <c r="C33" s="37"/>
      <c r="D33" s="37"/>
      <c r="E33" s="37"/>
      <c r="F33" s="37"/>
      <c r="G33" s="37"/>
      <c r="H33" s="37"/>
      <c r="I33" s="37"/>
    </row>
    <row r="34" spans="1:9">
      <c r="A34" s="43" t="s">
        <v>814</v>
      </c>
      <c r="B34" s="35" t="s">
        <v>825</v>
      </c>
      <c r="C34" s="37"/>
      <c r="D34" s="37"/>
      <c r="E34" s="37"/>
      <c r="F34" s="37"/>
      <c r="G34" s="37"/>
      <c r="H34" s="37"/>
      <c r="I34" s="37"/>
    </row>
    <row r="35" spans="1:9">
      <c r="A35" s="44"/>
      <c r="B35" s="37"/>
      <c r="C35" s="37"/>
      <c r="D35" s="37"/>
      <c r="E35" s="37"/>
      <c r="F35" s="37"/>
      <c r="G35" s="37"/>
      <c r="H35" s="37"/>
      <c r="I35" s="37"/>
    </row>
    <row r="36" spans="1:9">
      <c r="A36" s="45"/>
      <c r="B36" s="37"/>
      <c r="C36" s="37"/>
      <c r="D36" s="37"/>
      <c r="E36" s="37"/>
      <c r="F36" s="37"/>
      <c r="G36" s="37"/>
      <c r="H36" s="37"/>
      <c r="I36" s="37"/>
    </row>
    <row r="37" spans="1:9">
      <c r="A37" s="20" t="s">
        <v>817</v>
      </c>
      <c r="B37" s="35" t="s">
        <v>826</v>
      </c>
      <c r="C37" s="37"/>
      <c r="D37" s="37"/>
      <c r="E37" s="37"/>
      <c r="F37" s="37"/>
      <c r="G37" s="37"/>
      <c r="H37" s="37"/>
      <c r="I37" s="37"/>
    </row>
    <row r="38" spans="1:9">
      <c r="A38" s="20" t="s">
        <v>818</v>
      </c>
      <c r="B38" s="46" t="s">
        <v>840</v>
      </c>
      <c r="C38" s="46"/>
      <c r="D38" s="46"/>
      <c r="E38" s="46"/>
      <c r="F38" s="46"/>
      <c r="G38" s="46"/>
      <c r="H38" s="46"/>
      <c r="I38" s="46"/>
    </row>
    <row r="39" spans="1:9" ht="99" customHeight="1">
      <c r="A39" s="20" t="s">
        <v>820</v>
      </c>
      <c r="B39" s="35" t="s">
        <v>924</v>
      </c>
      <c r="C39" s="37"/>
      <c r="D39" s="37"/>
      <c r="E39" s="37"/>
      <c r="F39" s="37"/>
      <c r="G39" s="37"/>
      <c r="H39" s="37"/>
      <c r="I39" s="37"/>
    </row>
    <row r="40" spans="1:9">
      <c r="A40" s="20" t="s">
        <v>819</v>
      </c>
      <c r="B40" s="46" t="s">
        <v>827</v>
      </c>
      <c r="C40" s="46"/>
      <c r="D40" s="46"/>
      <c r="E40" s="46"/>
      <c r="F40" s="46"/>
      <c r="G40" s="46"/>
      <c r="H40" s="46"/>
      <c r="I40" s="46"/>
    </row>
    <row r="42" spans="1:9">
      <c r="A42" s="20" t="s">
        <v>806</v>
      </c>
      <c r="B42" s="42" t="s">
        <v>811</v>
      </c>
      <c r="C42" s="42"/>
      <c r="D42" s="42"/>
      <c r="E42" s="42"/>
      <c r="F42" s="42"/>
      <c r="G42" s="42"/>
      <c r="H42" s="42"/>
      <c r="I42" s="42"/>
    </row>
    <row r="43" spans="1:9">
      <c r="A43" s="20" t="s">
        <v>813</v>
      </c>
      <c r="B43" s="37" t="s">
        <v>828</v>
      </c>
      <c r="C43" s="37"/>
      <c r="D43" s="37"/>
      <c r="E43" s="37"/>
      <c r="F43" s="37"/>
      <c r="G43" s="37"/>
      <c r="H43" s="37"/>
      <c r="I43" s="37"/>
    </row>
    <row r="44" spans="1:9">
      <c r="A44" s="43" t="s">
        <v>814</v>
      </c>
      <c r="B44" s="35" t="s">
        <v>835</v>
      </c>
      <c r="C44" s="37"/>
      <c r="D44" s="37"/>
      <c r="E44" s="37"/>
      <c r="F44" s="37"/>
      <c r="G44" s="37"/>
      <c r="H44" s="37"/>
      <c r="I44" s="37"/>
    </row>
    <row r="45" spans="1:9">
      <c r="A45" s="44"/>
      <c r="B45" s="37"/>
      <c r="C45" s="37"/>
      <c r="D45" s="37"/>
      <c r="E45" s="37"/>
      <c r="F45" s="37"/>
      <c r="G45" s="37"/>
      <c r="H45" s="37"/>
      <c r="I45" s="37"/>
    </row>
    <row r="46" spans="1:9">
      <c r="A46" s="45"/>
      <c r="B46" s="37"/>
      <c r="C46" s="37"/>
      <c r="D46" s="37"/>
      <c r="E46" s="37"/>
      <c r="F46" s="37"/>
      <c r="G46" s="37"/>
      <c r="H46" s="37"/>
      <c r="I46" s="37"/>
    </row>
    <row r="47" spans="1:9">
      <c r="A47" s="20" t="s">
        <v>817</v>
      </c>
      <c r="B47" s="35" t="s">
        <v>829</v>
      </c>
      <c r="C47" s="37"/>
      <c r="D47" s="37"/>
      <c r="E47" s="37"/>
      <c r="F47" s="37"/>
      <c r="G47" s="37"/>
      <c r="H47" s="37"/>
      <c r="I47" s="37"/>
    </row>
    <row r="48" spans="1:9">
      <c r="A48" s="20" t="s">
        <v>818</v>
      </c>
      <c r="B48" s="46" t="s">
        <v>840</v>
      </c>
      <c r="C48" s="46"/>
      <c r="D48" s="46"/>
      <c r="E48" s="46"/>
      <c r="F48" s="46"/>
      <c r="G48" s="46"/>
      <c r="H48" s="46"/>
      <c r="I48" s="46"/>
    </row>
    <row r="49" spans="1:9" ht="66" customHeight="1">
      <c r="A49" s="20" t="s">
        <v>820</v>
      </c>
      <c r="B49" s="35" t="s">
        <v>925</v>
      </c>
      <c r="C49" s="37"/>
      <c r="D49" s="37"/>
      <c r="E49" s="37"/>
      <c r="F49" s="37"/>
      <c r="G49" s="37"/>
      <c r="H49" s="37"/>
      <c r="I49" s="37"/>
    </row>
    <row r="50" spans="1:9">
      <c r="A50" s="20" t="s">
        <v>819</v>
      </c>
      <c r="B50" s="46" t="s">
        <v>858</v>
      </c>
      <c r="C50" s="46"/>
      <c r="D50" s="46"/>
      <c r="E50" s="46"/>
      <c r="F50" s="46"/>
      <c r="G50" s="46"/>
      <c r="H50" s="46"/>
      <c r="I50" s="46"/>
    </row>
    <row r="52" spans="1:9">
      <c r="A52" s="20" t="s">
        <v>807</v>
      </c>
      <c r="B52" s="42" t="s">
        <v>404</v>
      </c>
      <c r="C52" s="42"/>
      <c r="D52" s="42"/>
      <c r="E52" s="42"/>
      <c r="F52" s="42"/>
      <c r="G52" s="42"/>
      <c r="H52" s="42"/>
      <c r="I52" s="42"/>
    </row>
    <row r="53" spans="1:9">
      <c r="A53" s="20" t="s">
        <v>813</v>
      </c>
      <c r="B53" s="37" t="s">
        <v>830</v>
      </c>
      <c r="C53" s="37"/>
      <c r="D53" s="37"/>
      <c r="E53" s="37"/>
      <c r="F53" s="37"/>
      <c r="G53" s="37"/>
      <c r="H53" s="37"/>
      <c r="I53" s="37"/>
    </row>
    <row r="54" spans="1:9">
      <c r="A54" s="43" t="s">
        <v>814</v>
      </c>
      <c r="B54" s="35" t="s">
        <v>831</v>
      </c>
      <c r="C54" s="37"/>
      <c r="D54" s="37"/>
      <c r="E54" s="37"/>
      <c r="F54" s="37"/>
      <c r="G54" s="37"/>
      <c r="H54" s="37"/>
      <c r="I54" s="37"/>
    </row>
    <row r="55" spans="1:9">
      <c r="A55" s="44"/>
      <c r="B55" s="37"/>
      <c r="C55" s="37"/>
      <c r="D55" s="37"/>
      <c r="E55" s="37"/>
      <c r="F55" s="37"/>
      <c r="G55" s="37"/>
      <c r="H55" s="37"/>
      <c r="I55" s="37"/>
    </row>
    <row r="56" spans="1:9">
      <c r="A56" s="45"/>
      <c r="B56" s="37"/>
      <c r="C56" s="37"/>
      <c r="D56" s="37"/>
      <c r="E56" s="37"/>
      <c r="F56" s="37"/>
      <c r="G56" s="37"/>
      <c r="H56" s="37"/>
      <c r="I56" s="37"/>
    </row>
    <row r="57" spans="1:9">
      <c r="A57" s="20" t="s">
        <v>817</v>
      </c>
      <c r="B57" s="35" t="s">
        <v>832</v>
      </c>
      <c r="C57" s="37"/>
      <c r="D57" s="37"/>
      <c r="E57" s="37"/>
      <c r="F57" s="37"/>
      <c r="G57" s="37"/>
      <c r="H57" s="37"/>
      <c r="I57" s="37"/>
    </row>
    <row r="58" spans="1:9">
      <c r="A58" s="20" t="s">
        <v>818</v>
      </c>
      <c r="B58" s="46" t="s">
        <v>865</v>
      </c>
      <c r="C58" s="46"/>
      <c r="D58" s="46"/>
      <c r="E58" s="46"/>
      <c r="F58" s="46"/>
      <c r="G58" s="46"/>
      <c r="H58" s="46"/>
      <c r="I58" s="46"/>
    </row>
    <row r="59" spans="1:9" ht="69" customHeight="1">
      <c r="A59" s="20" t="s">
        <v>820</v>
      </c>
      <c r="B59" s="35" t="s">
        <v>921</v>
      </c>
      <c r="C59" s="37"/>
      <c r="D59" s="37"/>
      <c r="E59" s="37"/>
      <c r="F59" s="37"/>
      <c r="G59" s="37"/>
      <c r="H59" s="37"/>
      <c r="I59" s="37"/>
    </row>
    <row r="60" spans="1:9">
      <c r="A60" s="20" t="s">
        <v>819</v>
      </c>
      <c r="B60" s="46" t="s">
        <v>866</v>
      </c>
      <c r="C60" s="46"/>
      <c r="D60" s="46"/>
      <c r="E60" s="46"/>
      <c r="F60" s="46"/>
      <c r="G60" s="46"/>
      <c r="H60" s="46"/>
      <c r="I60" s="46"/>
    </row>
  </sheetData>
  <mergeCells count="48">
    <mergeCell ref="B18:I18"/>
    <mergeCell ref="B19:I19"/>
    <mergeCell ref="B20:I20"/>
    <mergeCell ref="C8:I8"/>
    <mergeCell ref="A1:I1"/>
    <mergeCell ref="B3:I3"/>
    <mergeCell ref="B4:I4"/>
    <mergeCell ref="C6:I6"/>
    <mergeCell ref="C7:I7"/>
    <mergeCell ref="C9:I9"/>
    <mergeCell ref="C10:I10"/>
    <mergeCell ref="B13:I13"/>
    <mergeCell ref="B12:I12"/>
    <mergeCell ref="B14:I16"/>
    <mergeCell ref="A14:A16"/>
    <mergeCell ref="B17:I17"/>
    <mergeCell ref="B22:I22"/>
    <mergeCell ref="B38:I38"/>
    <mergeCell ref="A24:A26"/>
    <mergeCell ref="B24:I26"/>
    <mergeCell ref="B27:I27"/>
    <mergeCell ref="B28:I28"/>
    <mergeCell ref="B30:I30"/>
    <mergeCell ref="B29:I29"/>
    <mergeCell ref="B32:I32"/>
    <mergeCell ref="B33:I33"/>
    <mergeCell ref="A34:A36"/>
    <mergeCell ref="B34:I36"/>
    <mergeCell ref="B37:I37"/>
    <mergeCell ref="B23:I23"/>
    <mergeCell ref="B39:I39"/>
    <mergeCell ref="B40:I40"/>
    <mergeCell ref="B42:I42"/>
    <mergeCell ref="B43:I43"/>
    <mergeCell ref="A44:A46"/>
    <mergeCell ref="B44:I46"/>
    <mergeCell ref="B60:I60"/>
    <mergeCell ref="B47:I47"/>
    <mergeCell ref="B48:I48"/>
    <mergeCell ref="B49:I49"/>
    <mergeCell ref="B50:I50"/>
    <mergeCell ref="B52:I52"/>
    <mergeCell ref="B53:I53"/>
    <mergeCell ref="A54:A56"/>
    <mergeCell ref="B54:I56"/>
    <mergeCell ref="B57:I57"/>
    <mergeCell ref="B58:I58"/>
    <mergeCell ref="B59:I59"/>
  </mergeCells>
  <hyperlinks>
    <hyperlink ref="B20:I20" location="'Level 0'!A1" display="Clustered column chart → Product Type vs Not Inspected Profit $ " xr:uid="{E33E0421-CAE2-7B4E-BDE7-2BC4AFDC7DCC}"/>
    <hyperlink ref="B18:I18" location="'Line B Dataset'!A1" display="Line B Dataset" xr:uid="{9B201788-8435-2541-9595-B8EBCF5254D8}"/>
    <hyperlink ref="B28:I28" location="'Line B Dataset'!A1" display="Line B Dataset" xr:uid="{EB4B9CAB-246E-1F4D-B7C4-CAF75863BD14}"/>
    <hyperlink ref="B38:I38" location="'Line B Dataset'!A1" display="Line B Dataset" xr:uid="{BAAE8FEE-0010-7546-824A-4909B87C8272}"/>
    <hyperlink ref="B48:I48" location="'Line B Dataset'!A1" display="Line B Dataset" xr:uid="{0BDA18E5-F145-FB44-8F27-DA87A2DB9BAD}"/>
    <hyperlink ref="B58:I58" location="'Line B - Shift 3'!A1" display="Line B - Shift 3" xr:uid="{75AD11CC-FBE5-AC41-B819-D16C59A92E06}"/>
    <hyperlink ref="B30:I30" location="'Level 1'!A1" display="Line chart → Product Type vs Count of Not Inspected parts" xr:uid="{6D4A27DC-3425-144B-BF9E-B3DE17DEC6C9}"/>
    <hyperlink ref="B40:I40" location="'Level 2'!A1" display="Clustered column chart → Daily Profit Loss" xr:uid="{F3A333AE-CB20-5440-BBDA-9CEF194EBD49}"/>
    <hyperlink ref="B50:I50" location="'Level 3'!A1" display="Stacked column chart → Date vs Count by Product Type" xr:uid="{ABF54D13-7C79-1440-BC3A-6D8349774F08}"/>
    <hyperlink ref="B60:I60" location="'Level 4'!A1" display="Combo chart → Day vs Capacity vs Received vs Received Inspected vs Stranded (Not Inspected)" xr:uid="{478EB9A5-DCCE-B040-833C-FCF0364B710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BD433-FA03-D445-9846-3BFA92333FB6}">
  <dimension ref="A1:AN70"/>
  <sheetViews>
    <sheetView workbookViewId="0">
      <selection activeCell="A2" sqref="A2:A3"/>
    </sheetView>
  </sheetViews>
  <sheetFormatPr baseColWidth="10" defaultColWidth="8.83203125" defaultRowHeight="15"/>
  <cols>
    <col min="3" max="3" width="10.5" bestFit="1" customWidth="1"/>
    <col min="4" max="5" width="10.5" customWidth="1"/>
    <col min="9" max="9" width="10.6640625" customWidth="1"/>
    <col min="10" max="10" width="10.83203125" customWidth="1"/>
    <col min="11" max="11" width="9.6640625" customWidth="1"/>
    <col min="12" max="12" width="10.5" customWidth="1"/>
    <col min="13" max="13" width="10" customWidth="1"/>
    <col min="14" max="20" width="9.5" customWidth="1"/>
    <col min="21" max="22" width="8.6640625" bestFit="1" customWidth="1"/>
    <col min="23" max="23" width="7.6640625" customWidth="1"/>
    <col min="24" max="25" width="9.5" customWidth="1"/>
    <col min="26" max="26" width="11.5" customWidth="1"/>
    <col min="27" max="27" width="11.33203125" customWidth="1"/>
  </cols>
  <sheetData>
    <row r="1" spans="1:40">
      <c r="A1" s="51" t="s">
        <v>931</v>
      </c>
      <c r="B1" s="51"/>
      <c r="C1" s="51"/>
      <c r="D1" s="51"/>
      <c r="E1" s="51"/>
      <c r="F1" s="51"/>
      <c r="G1" s="51"/>
      <c r="H1" s="51"/>
      <c r="I1" s="51"/>
      <c r="J1" s="51"/>
    </row>
    <row r="2" spans="1:40">
      <c r="A2" t="s">
        <v>934</v>
      </c>
    </row>
    <row r="3" spans="1:40">
      <c r="A3" t="s">
        <v>933</v>
      </c>
    </row>
    <row r="6" spans="1:40">
      <c r="G6" t="s">
        <v>160</v>
      </c>
      <c r="AE6">
        <v>1</v>
      </c>
      <c r="AF6">
        <v>4</v>
      </c>
      <c r="AG6">
        <v>3</v>
      </c>
      <c r="AL6">
        <v>5</v>
      </c>
      <c r="AM6">
        <v>6</v>
      </c>
    </row>
    <row r="7" spans="1:40" s="7" customFormat="1" ht="65.25" customHeight="1">
      <c r="B7" s="7" t="s">
        <v>161</v>
      </c>
      <c r="C7" s="7" t="s">
        <v>398</v>
      </c>
      <c r="D7" s="7" t="s">
        <v>162</v>
      </c>
      <c r="E7" s="7" t="s">
        <v>833</v>
      </c>
      <c r="F7" s="7" t="s">
        <v>399</v>
      </c>
      <c r="G7" s="7" t="s">
        <v>409</v>
      </c>
      <c r="H7" s="7" t="s">
        <v>401</v>
      </c>
      <c r="I7" s="7" t="s">
        <v>402</v>
      </c>
      <c r="J7" s="7" t="s">
        <v>403</v>
      </c>
      <c r="K7" s="7" t="s">
        <v>404</v>
      </c>
      <c r="L7" s="7" t="s">
        <v>405</v>
      </c>
      <c r="M7" s="7" t="s">
        <v>406</v>
      </c>
      <c r="N7" s="7" t="s">
        <v>407</v>
      </c>
      <c r="O7" s="7" t="s">
        <v>174</v>
      </c>
      <c r="P7" s="7" t="s">
        <v>164</v>
      </c>
      <c r="Q7" s="7" t="s">
        <v>793</v>
      </c>
      <c r="R7" s="7" t="s">
        <v>794</v>
      </c>
      <c r="S7" s="7" t="s">
        <v>795</v>
      </c>
      <c r="T7" s="7" t="s">
        <v>796</v>
      </c>
      <c r="U7" s="7" t="s">
        <v>165</v>
      </c>
      <c r="V7" s="7" t="s">
        <v>166</v>
      </c>
      <c r="W7" s="7" t="s">
        <v>167</v>
      </c>
      <c r="X7" s="7" t="s">
        <v>168</v>
      </c>
      <c r="Y7" s="7" t="s">
        <v>842</v>
      </c>
      <c r="Z7" s="7" t="s">
        <v>408</v>
      </c>
      <c r="AA7" s="7" t="s">
        <v>408</v>
      </c>
      <c r="AB7" s="7" t="s">
        <v>122</v>
      </c>
      <c r="AC7" s="7" t="s">
        <v>126</v>
      </c>
      <c r="AD7" s="7" t="s">
        <v>123</v>
      </c>
      <c r="AE7" s="7" t="s">
        <v>169</v>
      </c>
      <c r="AF7" s="7" t="s">
        <v>170</v>
      </c>
      <c r="AG7" s="7" t="s">
        <v>171</v>
      </c>
      <c r="AH7" s="7" t="s">
        <v>797</v>
      </c>
      <c r="AI7" s="7" t="s">
        <v>173</v>
      </c>
      <c r="AJ7" s="7" t="s">
        <v>108</v>
      </c>
      <c r="AK7" s="7" t="s">
        <v>410</v>
      </c>
      <c r="AL7" s="7" t="s">
        <v>175</v>
      </c>
      <c r="AM7" s="7" t="str">
        <f>AK7&amp; " $"</f>
        <v>Shipper/Receiver/Porter $</v>
      </c>
      <c r="AN7" s="7" t="s">
        <v>176</v>
      </c>
    </row>
    <row r="8" spans="1:40">
      <c r="B8">
        <v>160</v>
      </c>
      <c r="C8" s="15">
        <v>45323</v>
      </c>
      <c r="D8">
        <f>WEEKDAY(C8, 1)</f>
        <v>5</v>
      </c>
      <c r="E8">
        <f>_xlfn.ISOWEEKNUM(C8)</f>
        <v>5</v>
      </c>
      <c r="F8">
        <v>1</v>
      </c>
      <c r="G8">
        <v>105</v>
      </c>
      <c r="H8">
        <v>194</v>
      </c>
      <c r="I8">
        <v>194</v>
      </c>
      <c r="J8">
        <v>0</v>
      </c>
      <c r="K8">
        <v>216</v>
      </c>
      <c r="L8">
        <v>0</v>
      </c>
      <c r="M8">
        <v>0</v>
      </c>
      <c r="N8">
        <v>180</v>
      </c>
      <c r="O8">
        <f>H8-I8</f>
        <v>0</v>
      </c>
      <c r="P8" s="17">
        <f>N8/I8</f>
        <v>0.92783505154639179</v>
      </c>
      <c r="Q8" s="18">
        <f>VLOOKUP($G$8, 'Other Lists'!$B$13:$H$15, 7, FALSE)</f>
        <v>184</v>
      </c>
      <c r="R8" s="18">
        <f>VLOOKUP($G$8, 'Other Lists'!$B$13:$F$15, 5, FALSE)</f>
        <v>129</v>
      </c>
      <c r="S8" s="18">
        <f>VLOOKUP($G$8, 'Other Lists'!$B$13:$G$15, 6, FALSE)</f>
        <v>36</v>
      </c>
      <c r="T8" s="18">
        <f>R8+S8</f>
        <v>165</v>
      </c>
      <c r="U8" s="18">
        <f>VLOOKUP($G$8, 'Other Lists'!$B$13:$H$15, 7, FALSE) *N8</f>
        <v>33120</v>
      </c>
      <c r="V8" s="18">
        <f>T8*I8</f>
        <v>32010</v>
      </c>
      <c r="W8" s="18">
        <f>U8-V8</f>
        <v>1110</v>
      </c>
      <c r="X8" s="18">
        <f>(I8-N8)*Q8</f>
        <v>2576</v>
      </c>
      <c r="Y8" s="18">
        <f>L8*W8</f>
        <v>0</v>
      </c>
      <c r="Z8">
        <v>8</v>
      </c>
      <c r="AA8">
        <v>8</v>
      </c>
      <c r="AB8">
        <v>0</v>
      </c>
      <c r="AC8">
        <v>4</v>
      </c>
      <c r="AD8">
        <f t="shared" ref="AD8:AD31" si="0">AA8-AB8-AC8-AJ8</f>
        <v>2</v>
      </c>
      <c r="AE8">
        <f>VLOOKUP($AE$6, 'Other Lists'!$B$27:$H$32, 7, FALSE) *AB8*8</f>
        <v>0</v>
      </c>
      <c r="AF8">
        <f>VLOOKUP($AF$6, 'Other Lists'!$B$27:$H$32, 7, FALSE) * AC8 * 8</f>
        <v>1123.2</v>
      </c>
      <c r="AG8">
        <f>VLOOKUP($AG$6, 'Other Lists'!$B$27:$H$32, 7, FALSE) * AD8 * 8</f>
        <v>518.4</v>
      </c>
      <c r="AH8">
        <f>SUM($AE$8:$AG$8)</f>
        <v>1641.6</v>
      </c>
      <c r="AI8">
        <f t="shared" ref="AI8:AI39" si="1">AH8/I8</f>
        <v>8.4618556701030929</v>
      </c>
      <c r="AJ8">
        <v>2</v>
      </c>
      <c r="AK8">
        <v>2</v>
      </c>
      <c r="AL8">
        <f>VLOOKUP($AL$6, 'Other Lists'!$B$27:$H$32, 7, FALSE) * AJ8 * 8</f>
        <v>648</v>
      </c>
      <c r="AM8">
        <f>VLOOKUP($AM$6, 'Other Lists'!$B$27:$H$32, 7, FALSE) * AK8 * 8</f>
        <v>648</v>
      </c>
      <c r="AN8">
        <f t="shared" ref="AN8:AN31" si="2">SUM(AH8,AL8,AM8)</f>
        <v>2937.6</v>
      </c>
    </row>
    <row r="9" spans="1:40">
      <c r="B9">
        <v>161</v>
      </c>
      <c r="C9" s="15">
        <v>45324</v>
      </c>
      <c r="D9">
        <f t="shared" ref="D9:D70" si="3">WEEKDAY(C9, 1)</f>
        <v>6</v>
      </c>
      <c r="E9">
        <f t="shared" ref="E9:E54" si="4">_xlfn.ISOWEEKNUM(C9)</f>
        <v>5</v>
      </c>
      <c r="F9">
        <v>1</v>
      </c>
      <c r="G9">
        <v>105</v>
      </c>
      <c r="H9">
        <v>213</v>
      </c>
      <c r="I9">
        <v>205</v>
      </c>
      <c r="J9">
        <v>0</v>
      </c>
      <c r="K9">
        <v>216</v>
      </c>
      <c r="L9">
        <v>8</v>
      </c>
      <c r="M9">
        <v>0</v>
      </c>
      <c r="N9">
        <v>190</v>
      </c>
      <c r="O9">
        <f t="shared" ref="O9:O54" si="5">H9-I9</f>
        <v>8</v>
      </c>
      <c r="P9" s="17">
        <f t="shared" ref="P9:P54" si="6">N9/I9</f>
        <v>0.92682926829268297</v>
      </c>
      <c r="Q9" s="18">
        <f>VLOOKUP($G$8, 'Other Lists'!$B$13:$H$15, 7, FALSE)</f>
        <v>184</v>
      </c>
      <c r="R9" s="18">
        <f>VLOOKUP($G$8, 'Other Lists'!$B$13:$F$15, 5, FALSE)</f>
        <v>129</v>
      </c>
      <c r="S9" s="18">
        <f>VLOOKUP($G$8, 'Other Lists'!$B$13:$G$15, 6, FALSE)</f>
        <v>36</v>
      </c>
      <c r="T9" s="18">
        <f t="shared" ref="T9:T54" si="7">R9+S9</f>
        <v>165</v>
      </c>
      <c r="U9" s="18">
        <f>VLOOKUP($G$8, 'Other Lists'!$B$13:$H$15, 7, FALSE) *N9</f>
        <v>34960</v>
      </c>
      <c r="V9" s="18">
        <f t="shared" ref="V9:V54" si="8">T9*I9</f>
        <v>33825</v>
      </c>
      <c r="W9" s="18">
        <f t="shared" ref="W9:W54" si="9">U9-V9</f>
        <v>1135</v>
      </c>
      <c r="X9" s="18">
        <f t="shared" ref="X9:X54" si="10">(I9-N9)*Q9</f>
        <v>2760</v>
      </c>
      <c r="Y9" s="18">
        <f t="shared" ref="Y9:Y54" si="11">L9*W9</f>
        <v>9080</v>
      </c>
      <c r="Z9">
        <v>8</v>
      </c>
      <c r="AA9">
        <v>8</v>
      </c>
      <c r="AB9">
        <v>0</v>
      </c>
      <c r="AC9">
        <v>4</v>
      </c>
      <c r="AD9">
        <f t="shared" si="0"/>
        <v>2</v>
      </c>
      <c r="AE9">
        <f>VLOOKUP($AE$6, 'Other Lists'!$B$27:$H$32, 7, FALSE) *AB9*8</f>
        <v>0</v>
      </c>
      <c r="AF9">
        <f>VLOOKUP($AF$6, 'Other Lists'!$B$27:$H$32, 7, FALSE) * AC9 * 8</f>
        <v>1123.2</v>
      </c>
      <c r="AG9">
        <f>VLOOKUP($AG$6, 'Other Lists'!$B$27:$H$32, 7, FALSE) * AD9 * 8</f>
        <v>518.4</v>
      </c>
      <c r="AH9">
        <f t="shared" ref="AH9:AH49" si="12">SUM($AE$8:$AG$8)</f>
        <v>1641.6</v>
      </c>
      <c r="AI9">
        <f t="shared" si="1"/>
        <v>8.0078048780487805</v>
      </c>
      <c r="AJ9">
        <v>2</v>
      </c>
      <c r="AK9">
        <v>2</v>
      </c>
      <c r="AL9">
        <f>VLOOKUP($AL$6, 'Other Lists'!$B$27:$H$32, 7, FALSE) * AJ9 * 8</f>
        <v>648</v>
      </c>
      <c r="AM9">
        <f>VLOOKUP($AM$6, 'Other Lists'!$B$27:$H$32, 7, FALSE) * AK9 * 8</f>
        <v>648</v>
      </c>
      <c r="AN9">
        <f t="shared" si="2"/>
        <v>2937.6</v>
      </c>
    </row>
    <row r="10" spans="1:40">
      <c r="B10">
        <v>162</v>
      </c>
      <c r="C10" s="15">
        <v>45325</v>
      </c>
      <c r="D10">
        <f t="shared" si="3"/>
        <v>7</v>
      </c>
      <c r="E10">
        <f t="shared" si="4"/>
        <v>5</v>
      </c>
      <c r="F10">
        <v>1</v>
      </c>
      <c r="G10">
        <v>105</v>
      </c>
      <c r="H10">
        <v>259</v>
      </c>
      <c r="I10">
        <v>218</v>
      </c>
      <c r="J10">
        <v>0</v>
      </c>
      <c r="K10">
        <v>216</v>
      </c>
      <c r="L10">
        <v>41</v>
      </c>
      <c r="M10">
        <v>0</v>
      </c>
      <c r="N10">
        <v>209</v>
      </c>
      <c r="O10">
        <f t="shared" si="5"/>
        <v>41</v>
      </c>
      <c r="P10" s="17">
        <f t="shared" si="6"/>
        <v>0.95871559633027525</v>
      </c>
      <c r="Q10" s="18">
        <f>VLOOKUP($G$8, 'Other Lists'!$B$13:$H$15, 7, FALSE)</f>
        <v>184</v>
      </c>
      <c r="R10" s="18">
        <f>VLOOKUP($G$8, 'Other Lists'!$B$13:$F$15, 5, FALSE)</f>
        <v>129</v>
      </c>
      <c r="S10" s="18">
        <f>VLOOKUP($G$8, 'Other Lists'!$B$13:$G$15, 6, FALSE)</f>
        <v>36</v>
      </c>
      <c r="T10" s="18">
        <f t="shared" si="7"/>
        <v>165</v>
      </c>
      <c r="U10" s="18">
        <f>VLOOKUP($G$8, 'Other Lists'!$B$13:$H$15, 7, FALSE) *N10</f>
        <v>38456</v>
      </c>
      <c r="V10" s="18">
        <f t="shared" si="8"/>
        <v>35970</v>
      </c>
      <c r="W10" s="18">
        <f t="shared" si="9"/>
        <v>2486</v>
      </c>
      <c r="X10" s="18">
        <f t="shared" si="10"/>
        <v>1656</v>
      </c>
      <c r="Y10" s="18">
        <f t="shared" si="11"/>
        <v>101926</v>
      </c>
      <c r="Z10">
        <v>8</v>
      </c>
      <c r="AA10">
        <v>8</v>
      </c>
      <c r="AB10">
        <v>1</v>
      </c>
      <c r="AC10">
        <v>3</v>
      </c>
      <c r="AD10">
        <f t="shared" si="0"/>
        <v>3</v>
      </c>
      <c r="AE10">
        <f>VLOOKUP($AE$6, 'Other Lists'!$B$27:$H$32, 7, FALSE) *AB10*8</f>
        <v>194.4</v>
      </c>
      <c r="AF10">
        <f>VLOOKUP($AF$6, 'Other Lists'!$B$27:$H$32, 7, FALSE) * AC10 * 8</f>
        <v>842.40000000000009</v>
      </c>
      <c r="AG10">
        <f>VLOOKUP($AG$6, 'Other Lists'!$B$27:$H$32, 7, FALSE) * AD10 * 8</f>
        <v>777.59999999999991</v>
      </c>
      <c r="AH10">
        <f t="shared" si="12"/>
        <v>1641.6</v>
      </c>
      <c r="AI10">
        <f t="shared" si="1"/>
        <v>7.5302752293577981</v>
      </c>
      <c r="AJ10">
        <v>1</v>
      </c>
      <c r="AK10">
        <v>2</v>
      </c>
      <c r="AL10">
        <f>VLOOKUP($AL$6, 'Other Lists'!$B$27:$H$32, 7, FALSE) * AJ10 * 8</f>
        <v>324</v>
      </c>
      <c r="AM10">
        <f>VLOOKUP($AM$6, 'Other Lists'!$B$27:$H$32, 7, FALSE) * AK10 * 8</f>
        <v>648</v>
      </c>
      <c r="AN10">
        <f t="shared" si="2"/>
        <v>2613.6</v>
      </c>
    </row>
    <row r="11" spans="1:40">
      <c r="B11">
        <v>165</v>
      </c>
      <c r="C11" s="15">
        <v>45328</v>
      </c>
      <c r="D11">
        <f t="shared" si="3"/>
        <v>3</v>
      </c>
      <c r="E11">
        <f t="shared" si="4"/>
        <v>6</v>
      </c>
      <c r="F11">
        <v>1</v>
      </c>
      <c r="G11">
        <v>105</v>
      </c>
      <c r="H11">
        <v>181</v>
      </c>
      <c r="I11">
        <v>181</v>
      </c>
      <c r="J11">
        <v>0</v>
      </c>
      <c r="K11">
        <v>216</v>
      </c>
      <c r="L11">
        <v>0</v>
      </c>
      <c r="M11">
        <v>0</v>
      </c>
      <c r="N11">
        <v>171</v>
      </c>
      <c r="O11">
        <f t="shared" si="5"/>
        <v>0</v>
      </c>
      <c r="P11" s="17">
        <f t="shared" si="6"/>
        <v>0.94475138121546964</v>
      </c>
      <c r="Q11" s="18">
        <f>VLOOKUP($G$8, 'Other Lists'!$B$13:$H$15, 7, FALSE)</f>
        <v>184</v>
      </c>
      <c r="R11" s="18">
        <f>VLOOKUP($G$8, 'Other Lists'!$B$13:$F$15, 5, FALSE)</f>
        <v>129</v>
      </c>
      <c r="S11" s="18">
        <f>VLOOKUP($G$8, 'Other Lists'!$B$13:$G$15, 6, FALSE)</f>
        <v>36</v>
      </c>
      <c r="T11" s="18">
        <f t="shared" si="7"/>
        <v>165</v>
      </c>
      <c r="U11" s="18">
        <f>VLOOKUP($G$8, 'Other Lists'!$B$13:$H$15, 7, FALSE) *N11</f>
        <v>31464</v>
      </c>
      <c r="V11" s="18">
        <f t="shared" si="8"/>
        <v>29865</v>
      </c>
      <c r="W11" s="18">
        <f t="shared" si="9"/>
        <v>1599</v>
      </c>
      <c r="X11" s="18">
        <f t="shared" si="10"/>
        <v>1840</v>
      </c>
      <c r="Y11" s="18">
        <f t="shared" si="11"/>
        <v>0</v>
      </c>
      <c r="Z11">
        <v>8</v>
      </c>
      <c r="AA11">
        <v>8</v>
      </c>
      <c r="AB11">
        <v>0</v>
      </c>
      <c r="AC11">
        <v>3</v>
      </c>
      <c r="AD11">
        <f t="shared" si="0"/>
        <v>3</v>
      </c>
      <c r="AE11">
        <f>VLOOKUP($AE$6, 'Other Lists'!$B$27:$H$32, 7, FALSE) *AB11*8</f>
        <v>0</v>
      </c>
      <c r="AF11">
        <f>VLOOKUP($AF$6, 'Other Lists'!$B$27:$H$32, 7, FALSE) * AC11 * 8</f>
        <v>842.40000000000009</v>
      </c>
      <c r="AG11">
        <f>VLOOKUP($AG$6, 'Other Lists'!$B$27:$H$32, 7, FALSE) * AD11 * 8</f>
        <v>777.59999999999991</v>
      </c>
      <c r="AH11">
        <f t="shared" si="12"/>
        <v>1641.6</v>
      </c>
      <c r="AI11">
        <f t="shared" si="1"/>
        <v>9.0696132596685075</v>
      </c>
      <c r="AJ11">
        <v>2</v>
      </c>
      <c r="AK11">
        <v>2</v>
      </c>
      <c r="AL11">
        <f>VLOOKUP($AL$6, 'Other Lists'!$B$27:$H$32, 7, FALSE) * AJ11 * 8</f>
        <v>648</v>
      </c>
      <c r="AM11">
        <f>VLOOKUP($AM$6, 'Other Lists'!$B$27:$H$32, 7, FALSE) * AK11 * 8</f>
        <v>648</v>
      </c>
      <c r="AN11">
        <f t="shared" si="2"/>
        <v>2937.6</v>
      </c>
    </row>
    <row r="12" spans="1:40">
      <c r="B12">
        <v>166</v>
      </c>
      <c r="C12" s="15">
        <v>45329</v>
      </c>
      <c r="D12">
        <f t="shared" si="3"/>
        <v>4</v>
      </c>
      <c r="E12">
        <f t="shared" si="4"/>
        <v>6</v>
      </c>
      <c r="F12">
        <v>1</v>
      </c>
      <c r="G12">
        <v>105</v>
      </c>
      <c r="H12">
        <v>233</v>
      </c>
      <c r="I12">
        <v>207</v>
      </c>
      <c r="J12">
        <v>0</v>
      </c>
      <c r="K12">
        <v>216</v>
      </c>
      <c r="L12">
        <v>26</v>
      </c>
      <c r="M12">
        <v>0</v>
      </c>
      <c r="N12">
        <v>192</v>
      </c>
      <c r="O12">
        <f t="shared" si="5"/>
        <v>26</v>
      </c>
      <c r="P12" s="17">
        <f t="shared" si="6"/>
        <v>0.92753623188405798</v>
      </c>
      <c r="Q12" s="18">
        <f>VLOOKUP($G$8, 'Other Lists'!$B$13:$H$15, 7, FALSE)</f>
        <v>184</v>
      </c>
      <c r="R12" s="18">
        <f>VLOOKUP($G$8, 'Other Lists'!$B$13:$F$15, 5, FALSE)</f>
        <v>129</v>
      </c>
      <c r="S12" s="18">
        <f>VLOOKUP($G$8, 'Other Lists'!$B$13:$G$15, 6, FALSE)</f>
        <v>36</v>
      </c>
      <c r="T12" s="18">
        <f t="shared" si="7"/>
        <v>165</v>
      </c>
      <c r="U12" s="18">
        <f>VLOOKUP($G$8, 'Other Lists'!$B$13:$H$15, 7, FALSE) *N12</f>
        <v>35328</v>
      </c>
      <c r="V12" s="18">
        <f t="shared" si="8"/>
        <v>34155</v>
      </c>
      <c r="W12" s="18">
        <f t="shared" si="9"/>
        <v>1173</v>
      </c>
      <c r="X12" s="18">
        <f t="shared" si="10"/>
        <v>2760</v>
      </c>
      <c r="Y12" s="18">
        <f t="shared" si="11"/>
        <v>30498</v>
      </c>
      <c r="Z12">
        <v>8</v>
      </c>
      <c r="AA12">
        <v>8</v>
      </c>
      <c r="AB12">
        <v>0</v>
      </c>
      <c r="AC12">
        <v>4</v>
      </c>
      <c r="AD12">
        <f t="shared" si="0"/>
        <v>2</v>
      </c>
      <c r="AE12">
        <f>VLOOKUP($AE$6, 'Other Lists'!$B$27:$H$32, 7, FALSE) *AB12*8</f>
        <v>0</v>
      </c>
      <c r="AF12">
        <f>VLOOKUP($AF$6, 'Other Lists'!$B$27:$H$32, 7, FALSE) * AC12 * 8</f>
        <v>1123.2</v>
      </c>
      <c r="AG12">
        <f>VLOOKUP($AG$6, 'Other Lists'!$B$27:$H$32, 7, FALSE) * AD12 * 8</f>
        <v>518.4</v>
      </c>
      <c r="AH12">
        <f t="shared" si="12"/>
        <v>1641.6</v>
      </c>
      <c r="AI12">
        <f t="shared" si="1"/>
        <v>7.9304347826086952</v>
      </c>
      <c r="AJ12">
        <v>2</v>
      </c>
      <c r="AK12">
        <v>2</v>
      </c>
      <c r="AL12">
        <f>VLOOKUP($AL$6, 'Other Lists'!$B$27:$H$32, 7, FALSE) * AJ12 * 8</f>
        <v>648</v>
      </c>
      <c r="AM12">
        <f>VLOOKUP($AM$6, 'Other Lists'!$B$27:$H$32, 7, FALSE) * AK12 * 8</f>
        <v>648</v>
      </c>
      <c r="AN12">
        <f t="shared" si="2"/>
        <v>2937.6</v>
      </c>
    </row>
    <row r="13" spans="1:40">
      <c r="B13">
        <v>167</v>
      </c>
      <c r="C13" s="15">
        <v>45330</v>
      </c>
      <c r="D13">
        <f t="shared" si="3"/>
        <v>5</v>
      </c>
      <c r="E13">
        <f t="shared" si="4"/>
        <v>6</v>
      </c>
      <c r="F13">
        <v>1</v>
      </c>
      <c r="G13">
        <v>105</v>
      </c>
      <c r="H13">
        <v>203</v>
      </c>
      <c r="I13">
        <v>186</v>
      </c>
      <c r="J13">
        <v>0</v>
      </c>
      <c r="K13">
        <v>216</v>
      </c>
      <c r="L13">
        <v>17</v>
      </c>
      <c r="M13">
        <v>0</v>
      </c>
      <c r="N13">
        <v>182</v>
      </c>
      <c r="O13">
        <f t="shared" si="5"/>
        <v>17</v>
      </c>
      <c r="P13" s="17">
        <f t="shared" si="6"/>
        <v>0.978494623655914</v>
      </c>
      <c r="Q13" s="18">
        <f>VLOOKUP($G$8, 'Other Lists'!$B$13:$H$15, 7, FALSE)</f>
        <v>184</v>
      </c>
      <c r="R13" s="18">
        <f>VLOOKUP($G$8, 'Other Lists'!$B$13:$F$15, 5, FALSE)</f>
        <v>129</v>
      </c>
      <c r="S13" s="18">
        <f>VLOOKUP($G$8, 'Other Lists'!$B$13:$G$15, 6, FALSE)</f>
        <v>36</v>
      </c>
      <c r="T13" s="18">
        <f t="shared" si="7"/>
        <v>165</v>
      </c>
      <c r="U13" s="18">
        <f>VLOOKUP($G$8, 'Other Lists'!$B$13:$H$15, 7, FALSE) *N13</f>
        <v>33488</v>
      </c>
      <c r="V13" s="18">
        <f t="shared" si="8"/>
        <v>30690</v>
      </c>
      <c r="W13" s="18">
        <f t="shared" si="9"/>
        <v>2798</v>
      </c>
      <c r="X13" s="18">
        <f t="shared" si="10"/>
        <v>736</v>
      </c>
      <c r="Y13" s="18">
        <f t="shared" si="11"/>
        <v>47566</v>
      </c>
      <c r="Z13">
        <v>8</v>
      </c>
      <c r="AA13">
        <v>7</v>
      </c>
      <c r="AB13">
        <v>1</v>
      </c>
      <c r="AC13">
        <v>3</v>
      </c>
      <c r="AD13">
        <f t="shared" si="0"/>
        <v>1</v>
      </c>
      <c r="AE13">
        <f>VLOOKUP($AE$6, 'Other Lists'!$B$27:$H$32, 7, FALSE) *AB13*8</f>
        <v>194.4</v>
      </c>
      <c r="AF13">
        <f>VLOOKUP($AF$6, 'Other Lists'!$B$27:$H$32, 7, FALSE) * AC13 * 8</f>
        <v>842.40000000000009</v>
      </c>
      <c r="AG13">
        <f>VLOOKUP($AG$6, 'Other Lists'!$B$27:$H$32, 7, FALSE) * AD13 * 8</f>
        <v>259.2</v>
      </c>
      <c r="AH13">
        <f t="shared" si="12"/>
        <v>1641.6</v>
      </c>
      <c r="AI13">
        <f t="shared" si="1"/>
        <v>8.8258064516129036</v>
      </c>
      <c r="AJ13">
        <v>2</v>
      </c>
      <c r="AK13">
        <v>2</v>
      </c>
      <c r="AL13">
        <f>VLOOKUP($AL$6, 'Other Lists'!$B$27:$H$32, 7, FALSE) * AJ13 * 8</f>
        <v>648</v>
      </c>
      <c r="AM13">
        <f>VLOOKUP($AM$6, 'Other Lists'!$B$27:$H$32, 7, FALSE) * AK13 * 8</f>
        <v>648</v>
      </c>
      <c r="AN13">
        <f t="shared" si="2"/>
        <v>2937.6</v>
      </c>
    </row>
    <row r="14" spans="1:40">
      <c r="B14">
        <v>168</v>
      </c>
      <c r="C14" s="15">
        <v>45331</v>
      </c>
      <c r="D14">
        <f t="shared" si="3"/>
        <v>6</v>
      </c>
      <c r="E14">
        <f t="shared" si="4"/>
        <v>6</v>
      </c>
      <c r="F14">
        <v>1</v>
      </c>
      <c r="G14">
        <v>105</v>
      </c>
      <c r="H14">
        <v>216</v>
      </c>
      <c r="I14">
        <v>211</v>
      </c>
      <c r="J14">
        <v>0</v>
      </c>
      <c r="K14">
        <v>216</v>
      </c>
      <c r="L14">
        <v>5</v>
      </c>
      <c r="M14">
        <v>0</v>
      </c>
      <c r="N14">
        <v>202</v>
      </c>
      <c r="O14">
        <f t="shared" si="5"/>
        <v>5</v>
      </c>
      <c r="P14" s="17">
        <f t="shared" si="6"/>
        <v>0.95734597156398105</v>
      </c>
      <c r="Q14" s="18">
        <f>VLOOKUP($G$8, 'Other Lists'!$B$13:$H$15, 7, FALSE)</f>
        <v>184</v>
      </c>
      <c r="R14" s="18">
        <f>VLOOKUP($G$8, 'Other Lists'!$B$13:$F$15, 5, FALSE)</f>
        <v>129</v>
      </c>
      <c r="S14" s="18">
        <f>VLOOKUP($G$8, 'Other Lists'!$B$13:$G$15, 6, FALSE)</f>
        <v>36</v>
      </c>
      <c r="T14" s="18">
        <f t="shared" si="7"/>
        <v>165</v>
      </c>
      <c r="U14" s="18">
        <f>VLOOKUP($G$8, 'Other Lists'!$B$13:$H$15, 7, FALSE) *N14</f>
        <v>37168</v>
      </c>
      <c r="V14" s="18">
        <f t="shared" si="8"/>
        <v>34815</v>
      </c>
      <c r="W14" s="18">
        <f t="shared" si="9"/>
        <v>2353</v>
      </c>
      <c r="X14" s="18">
        <f t="shared" si="10"/>
        <v>1656</v>
      </c>
      <c r="Y14" s="18">
        <f t="shared" si="11"/>
        <v>11765</v>
      </c>
      <c r="Z14">
        <v>8</v>
      </c>
      <c r="AA14">
        <v>8</v>
      </c>
      <c r="AB14">
        <v>0</v>
      </c>
      <c r="AC14">
        <v>4</v>
      </c>
      <c r="AD14">
        <f t="shared" si="0"/>
        <v>2</v>
      </c>
      <c r="AE14">
        <f>VLOOKUP($AE$6, 'Other Lists'!$B$27:$H$32, 7, FALSE) *AB14*8</f>
        <v>0</v>
      </c>
      <c r="AF14">
        <f>VLOOKUP($AF$6, 'Other Lists'!$B$27:$H$32, 7, FALSE) * AC14 * 8</f>
        <v>1123.2</v>
      </c>
      <c r="AG14">
        <f>VLOOKUP($AG$6, 'Other Lists'!$B$27:$H$32, 7, FALSE) * AD14 * 8</f>
        <v>518.4</v>
      </c>
      <c r="AH14">
        <f t="shared" si="12"/>
        <v>1641.6</v>
      </c>
      <c r="AI14">
        <f t="shared" si="1"/>
        <v>7.7800947867298573</v>
      </c>
      <c r="AJ14">
        <v>2</v>
      </c>
      <c r="AK14">
        <v>2</v>
      </c>
      <c r="AL14">
        <f>VLOOKUP($AL$6, 'Other Lists'!$B$27:$H$32, 7, FALSE) * AJ14 * 8</f>
        <v>648</v>
      </c>
      <c r="AM14">
        <f>VLOOKUP($AM$6, 'Other Lists'!$B$27:$H$32, 7, FALSE) * AK14 * 8</f>
        <v>648</v>
      </c>
      <c r="AN14">
        <f t="shared" si="2"/>
        <v>2937.6</v>
      </c>
    </row>
    <row r="15" spans="1:40">
      <c r="B15">
        <v>169</v>
      </c>
      <c r="C15" s="15">
        <v>45332</v>
      </c>
      <c r="D15">
        <f t="shared" si="3"/>
        <v>7</v>
      </c>
      <c r="E15">
        <f t="shared" si="4"/>
        <v>6</v>
      </c>
      <c r="F15">
        <v>1</v>
      </c>
      <c r="G15">
        <v>105</v>
      </c>
      <c r="H15">
        <v>194</v>
      </c>
      <c r="I15">
        <v>170</v>
      </c>
      <c r="J15">
        <v>0</v>
      </c>
      <c r="K15">
        <v>216</v>
      </c>
      <c r="L15">
        <v>24</v>
      </c>
      <c r="M15">
        <v>0</v>
      </c>
      <c r="N15">
        <v>164</v>
      </c>
      <c r="O15">
        <f t="shared" si="5"/>
        <v>24</v>
      </c>
      <c r="P15" s="17">
        <f t="shared" si="6"/>
        <v>0.96470588235294119</v>
      </c>
      <c r="Q15" s="18">
        <f>VLOOKUP($G$8, 'Other Lists'!$B$13:$H$15, 7, FALSE)</f>
        <v>184</v>
      </c>
      <c r="R15" s="18">
        <f>VLOOKUP($G$8, 'Other Lists'!$B$13:$F$15, 5, FALSE)</f>
        <v>129</v>
      </c>
      <c r="S15" s="18">
        <f>VLOOKUP($G$8, 'Other Lists'!$B$13:$G$15, 6, FALSE)</f>
        <v>36</v>
      </c>
      <c r="T15" s="18">
        <f t="shared" si="7"/>
        <v>165</v>
      </c>
      <c r="U15" s="18">
        <f>VLOOKUP($G$8, 'Other Lists'!$B$13:$H$15, 7, FALSE) *N15</f>
        <v>30176</v>
      </c>
      <c r="V15" s="18">
        <f t="shared" si="8"/>
        <v>28050</v>
      </c>
      <c r="W15" s="18">
        <f t="shared" si="9"/>
        <v>2126</v>
      </c>
      <c r="X15" s="18">
        <f t="shared" si="10"/>
        <v>1104</v>
      </c>
      <c r="Y15" s="18">
        <f t="shared" si="11"/>
        <v>51024</v>
      </c>
      <c r="Z15">
        <v>8</v>
      </c>
      <c r="AA15">
        <v>7</v>
      </c>
      <c r="AB15">
        <v>1</v>
      </c>
      <c r="AC15">
        <v>3</v>
      </c>
      <c r="AD15">
        <f t="shared" si="0"/>
        <v>1</v>
      </c>
      <c r="AE15">
        <f>VLOOKUP($AE$6, 'Other Lists'!$B$27:$H$32, 7, FALSE) *AB15*8</f>
        <v>194.4</v>
      </c>
      <c r="AF15">
        <f>VLOOKUP($AF$6, 'Other Lists'!$B$27:$H$32, 7, FALSE) * AC15 * 8</f>
        <v>842.40000000000009</v>
      </c>
      <c r="AG15">
        <f>VLOOKUP($AG$6, 'Other Lists'!$B$27:$H$32, 7, FALSE) * AD15 * 8</f>
        <v>259.2</v>
      </c>
      <c r="AH15">
        <f t="shared" si="12"/>
        <v>1641.6</v>
      </c>
      <c r="AI15">
        <f t="shared" si="1"/>
        <v>9.6564705882352939</v>
      </c>
      <c r="AJ15">
        <v>2</v>
      </c>
      <c r="AK15">
        <v>2</v>
      </c>
      <c r="AL15">
        <f>VLOOKUP($AL$6, 'Other Lists'!$B$27:$H$32, 7, FALSE) * AJ15 * 8</f>
        <v>648</v>
      </c>
      <c r="AM15">
        <f>VLOOKUP($AM$6, 'Other Lists'!$B$27:$H$32, 7, FALSE) * AK15 * 8</f>
        <v>648</v>
      </c>
      <c r="AN15">
        <f t="shared" si="2"/>
        <v>2937.6</v>
      </c>
    </row>
    <row r="16" spans="1:40">
      <c r="B16">
        <v>172</v>
      </c>
      <c r="C16" s="15">
        <v>45335</v>
      </c>
      <c r="D16">
        <f t="shared" si="3"/>
        <v>3</v>
      </c>
      <c r="E16">
        <f t="shared" si="4"/>
        <v>7</v>
      </c>
      <c r="F16">
        <v>1</v>
      </c>
      <c r="G16">
        <v>105</v>
      </c>
      <c r="H16">
        <v>209</v>
      </c>
      <c r="I16">
        <v>207</v>
      </c>
      <c r="J16">
        <v>0</v>
      </c>
      <c r="K16">
        <v>216</v>
      </c>
      <c r="L16">
        <v>2</v>
      </c>
      <c r="M16">
        <v>0</v>
      </c>
      <c r="N16">
        <v>200</v>
      </c>
      <c r="O16">
        <f t="shared" si="5"/>
        <v>2</v>
      </c>
      <c r="P16" s="17">
        <f t="shared" si="6"/>
        <v>0.96618357487922701</v>
      </c>
      <c r="Q16" s="18">
        <f>VLOOKUP($G$8, 'Other Lists'!$B$13:$H$15, 7, FALSE)</f>
        <v>184</v>
      </c>
      <c r="R16" s="18">
        <f>VLOOKUP($G$8, 'Other Lists'!$B$13:$F$15, 5, FALSE)</f>
        <v>129</v>
      </c>
      <c r="S16" s="18">
        <f>VLOOKUP($G$8, 'Other Lists'!$B$13:$G$15, 6, FALSE)</f>
        <v>36</v>
      </c>
      <c r="T16" s="18">
        <f t="shared" si="7"/>
        <v>165</v>
      </c>
      <c r="U16" s="18">
        <f>VLOOKUP($G$8, 'Other Lists'!$B$13:$H$15, 7, FALSE) *N16</f>
        <v>36800</v>
      </c>
      <c r="V16" s="18">
        <f t="shared" si="8"/>
        <v>34155</v>
      </c>
      <c r="W16" s="18">
        <f t="shared" si="9"/>
        <v>2645</v>
      </c>
      <c r="X16" s="18">
        <f t="shared" si="10"/>
        <v>1288</v>
      </c>
      <c r="Y16" s="18">
        <f t="shared" si="11"/>
        <v>5290</v>
      </c>
      <c r="Z16">
        <v>8</v>
      </c>
      <c r="AA16">
        <v>8</v>
      </c>
      <c r="AB16">
        <v>0</v>
      </c>
      <c r="AC16">
        <v>3</v>
      </c>
      <c r="AD16">
        <f t="shared" si="0"/>
        <v>3</v>
      </c>
      <c r="AE16">
        <f>VLOOKUP($AE$6, 'Other Lists'!$B$27:$H$32, 7, FALSE) *AB16*8</f>
        <v>0</v>
      </c>
      <c r="AF16">
        <f>VLOOKUP($AF$6, 'Other Lists'!$B$27:$H$32, 7, FALSE) * AC16 * 8</f>
        <v>842.40000000000009</v>
      </c>
      <c r="AG16">
        <f>VLOOKUP($AG$6, 'Other Lists'!$B$27:$H$32, 7, FALSE) * AD16 * 8</f>
        <v>777.59999999999991</v>
      </c>
      <c r="AH16">
        <f t="shared" si="12"/>
        <v>1641.6</v>
      </c>
      <c r="AI16">
        <f t="shared" si="1"/>
        <v>7.9304347826086952</v>
      </c>
      <c r="AJ16">
        <v>2</v>
      </c>
      <c r="AK16">
        <v>2</v>
      </c>
      <c r="AL16">
        <f>VLOOKUP($AL$6, 'Other Lists'!$B$27:$H$32, 7, FALSE) * AJ16 * 8</f>
        <v>648</v>
      </c>
      <c r="AM16">
        <f>VLOOKUP($AM$6, 'Other Lists'!$B$27:$H$32, 7, FALSE) * AK16 * 8</f>
        <v>648</v>
      </c>
      <c r="AN16">
        <f t="shared" si="2"/>
        <v>2937.6</v>
      </c>
    </row>
    <row r="17" spans="2:40">
      <c r="B17">
        <v>173</v>
      </c>
      <c r="C17" s="15">
        <v>45336</v>
      </c>
      <c r="D17">
        <f t="shared" si="3"/>
        <v>4</v>
      </c>
      <c r="E17">
        <f t="shared" si="4"/>
        <v>7</v>
      </c>
      <c r="F17">
        <v>1</v>
      </c>
      <c r="G17">
        <v>105</v>
      </c>
      <c r="H17">
        <v>203</v>
      </c>
      <c r="I17">
        <v>203</v>
      </c>
      <c r="J17">
        <v>0</v>
      </c>
      <c r="K17">
        <v>216</v>
      </c>
      <c r="L17">
        <v>0</v>
      </c>
      <c r="M17">
        <v>0</v>
      </c>
      <c r="N17">
        <v>188</v>
      </c>
      <c r="O17">
        <f t="shared" si="5"/>
        <v>0</v>
      </c>
      <c r="P17" s="17">
        <f t="shared" si="6"/>
        <v>0.92610837438423643</v>
      </c>
      <c r="Q17" s="18">
        <f>VLOOKUP($G$8, 'Other Lists'!$B$13:$H$15, 7, FALSE)</f>
        <v>184</v>
      </c>
      <c r="R17" s="18">
        <f>VLOOKUP($G$8, 'Other Lists'!$B$13:$F$15, 5, FALSE)</f>
        <v>129</v>
      </c>
      <c r="S17" s="18">
        <f>VLOOKUP($G$8, 'Other Lists'!$B$13:$G$15, 6, FALSE)</f>
        <v>36</v>
      </c>
      <c r="T17" s="18">
        <f t="shared" si="7"/>
        <v>165</v>
      </c>
      <c r="U17" s="18">
        <f>VLOOKUP($G$8, 'Other Lists'!$B$13:$H$15, 7, FALSE) *N17</f>
        <v>34592</v>
      </c>
      <c r="V17" s="18">
        <f t="shared" si="8"/>
        <v>33495</v>
      </c>
      <c r="W17" s="18">
        <f t="shared" si="9"/>
        <v>1097</v>
      </c>
      <c r="X17" s="18">
        <f t="shared" si="10"/>
        <v>2760</v>
      </c>
      <c r="Y17" s="18">
        <f t="shared" si="11"/>
        <v>0</v>
      </c>
      <c r="Z17">
        <v>8</v>
      </c>
      <c r="AA17">
        <v>8</v>
      </c>
      <c r="AB17">
        <v>0</v>
      </c>
      <c r="AC17">
        <v>3</v>
      </c>
      <c r="AD17">
        <f t="shared" si="0"/>
        <v>3</v>
      </c>
      <c r="AE17">
        <f>VLOOKUP($AE$6, 'Other Lists'!$B$27:$H$32, 7, FALSE) *AB17*8</f>
        <v>0</v>
      </c>
      <c r="AF17">
        <f>VLOOKUP($AF$6, 'Other Lists'!$B$27:$H$32, 7, FALSE) * AC17 * 8</f>
        <v>842.40000000000009</v>
      </c>
      <c r="AG17">
        <f>VLOOKUP($AG$6, 'Other Lists'!$B$27:$H$32, 7, FALSE) * AD17 * 8</f>
        <v>777.59999999999991</v>
      </c>
      <c r="AH17">
        <f t="shared" si="12"/>
        <v>1641.6</v>
      </c>
      <c r="AI17">
        <f t="shared" si="1"/>
        <v>8.086699507389163</v>
      </c>
      <c r="AJ17">
        <v>2</v>
      </c>
      <c r="AK17">
        <v>2</v>
      </c>
      <c r="AL17">
        <f>VLOOKUP($AL$6, 'Other Lists'!$B$27:$H$32, 7, FALSE) * AJ17 * 8</f>
        <v>648</v>
      </c>
      <c r="AM17">
        <f>VLOOKUP($AM$6, 'Other Lists'!$B$27:$H$32, 7, FALSE) * AK17 * 8</f>
        <v>648</v>
      </c>
      <c r="AN17">
        <f t="shared" si="2"/>
        <v>2937.6</v>
      </c>
    </row>
    <row r="18" spans="2:40">
      <c r="B18">
        <v>174</v>
      </c>
      <c r="C18" s="15">
        <v>45337</v>
      </c>
      <c r="D18">
        <f t="shared" si="3"/>
        <v>5</v>
      </c>
      <c r="E18">
        <f t="shared" si="4"/>
        <v>7</v>
      </c>
      <c r="F18">
        <v>1</v>
      </c>
      <c r="G18">
        <v>105</v>
      </c>
      <c r="H18">
        <v>187</v>
      </c>
      <c r="I18">
        <v>187</v>
      </c>
      <c r="J18">
        <v>0</v>
      </c>
      <c r="K18">
        <v>216</v>
      </c>
      <c r="L18">
        <v>0</v>
      </c>
      <c r="M18">
        <v>0</v>
      </c>
      <c r="N18">
        <v>181</v>
      </c>
      <c r="O18">
        <f t="shared" si="5"/>
        <v>0</v>
      </c>
      <c r="P18" s="17">
        <f t="shared" si="6"/>
        <v>0.96791443850267378</v>
      </c>
      <c r="Q18" s="18">
        <f>VLOOKUP($G$8, 'Other Lists'!$B$13:$H$15, 7, FALSE)</f>
        <v>184</v>
      </c>
      <c r="R18" s="18">
        <f>VLOOKUP($G$8, 'Other Lists'!$B$13:$F$15, 5, FALSE)</f>
        <v>129</v>
      </c>
      <c r="S18" s="18">
        <f>VLOOKUP($G$8, 'Other Lists'!$B$13:$G$15, 6, FALSE)</f>
        <v>36</v>
      </c>
      <c r="T18" s="18">
        <f t="shared" si="7"/>
        <v>165</v>
      </c>
      <c r="U18" s="18">
        <f>VLOOKUP($G$8, 'Other Lists'!$B$13:$H$15, 7, FALSE) *N18</f>
        <v>33304</v>
      </c>
      <c r="V18" s="18">
        <f t="shared" si="8"/>
        <v>30855</v>
      </c>
      <c r="W18" s="18">
        <f t="shared" si="9"/>
        <v>2449</v>
      </c>
      <c r="X18" s="18">
        <f t="shared" si="10"/>
        <v>1104</v>
      </c>
      <c r="Y18" s="18">
        <f t="shared" si="11"/>
        <v>0</v>
      </c>
      <c r="Z18">
        <v>8</v>
      </c>
      <c r="AA18">
        <v>8</v>
      </c>
      <c r="AB18">
        <v>1</v>
      </c>
      <c r="AC18">
        <v>4</v>
      </c>
      <c r="AD18">
        <f t="shared" si="0"/>
        <v>1</v>
      </c>
      <c r="AE18">
        <f>VLOOKUP($AE$6, 'Other Lists'!$B$27:$H$32, 7, FALSE) *AB18*8</f>
        <v>194.4</v>
      </c>
      <c r="AF18">
        <f>VLOOKUP($AF$6, 'Other Lists'!$B$27:$H$32, 7, FALSE) * AC18 * 8</f>
        <v>1123.2</v>
      </c>
      <c r="AG18">
        <f>VLOOKUP($AG$6, 'Other Lists'!$B$27:$H$32, 7, FALSE) * AD18 * 8</f>
        <v>259.2</v>
      </c>
      <c r="AH18">
        <f t="shared" si="12"/>
        <v>1641.6</v>
      </c>
      <c r="AI18">
        <f t="shared" si="1"/>
        <v>8.778609625668448</v>
      </c>
      <c r="AJ18">
        <v>2</v>
      </c>
      <c r="AK18">
        <v>2</v>
      </c>
      <c r="AL18">
        <f>VLOOKUP($AL$6, 'Other Lists'!$B$27:$H$32, 7, FALSE) * AJ18 * 8</f>
        <v>648</v>
      </c>
      <c r="AM18">
        <f>VLOOKUP($AM$6, 'Other Lists'!$B$27:$H$32, 7, FALSE) * AK18 * 8</f>
        <v>648</v>
      </c>
      <c r="AN18">
        <f t="shared" si="2"/>
        <v>2937.6</v>
      </c>
    </row>
    <row r="19" spans="2:40">
      <c r="B19">
        <v>175</v>
      </c>
      <c r="C19" s="15">
        <v>45338</v>
      </c>
      <c r="D19">
        <f t="shared" si="3"/>
        <v>6</v>
      </c>
      <c r="E19">
        <f t="shared" si="4"/>
        <v>7</v>
      </c>
      <c r="F19">
        <v>1</v>
      </c>
      <c r="G19">
        <v>105</v>
      </c>
      <c r="H19">
        <v>177</v>
      </c>
      <c r="I19">
        <v>177</v>
      </c>
      <c r="J19">
        <v>0</v>
      </c>
      <c r="K19">
        <v>216</v>
      </c>
      <c r="L19">
        <v>0</v>
      </c>
      <c r="M19">
        <v>0</v>
      </c>
      <c r="N19">
        <v>171</v>
      </c>
      <c r="O19">
        <f t="shared" si="5"/>
        <v>0</v>
      </c>
      <c r="P19" s="17">
        <f t="shared" si="6"/>
        <v>0.96610169491525422</v>
      </c>
      <c r="Q19" s="18">
        <f>VLOOKUP($G$8, 'Other Lists'!$B$13:$H$15, 7, FALSE)</f>
        <v>184</v>
      </c>
      <c r="R19" s="18">
        <f>VLOOKUP($G$8, 'Other Lists'!$B$13:$F$15, 5, FALSE)</f>
        <v>129</v>
      </c>
      <c r="S19" s="18">
        <f>VLOOKUP($G$8, 'Other Lists'!$B$13:$G$15, 6, FALSE)</f>
        <v>36</v>
      </c>
      <c r="T19" s="18">
        <f t="shared" si="7"/>
        <v>165</v>
      </c>
      <c r="U19" s="18">
        <f>VLOOKUP($G$8, 'Other Lists'!$B$13:$H$15, 7, FALSE) *N19</f>
        <v>31464</v>
      </c>
      <c r="V19" s="18">
        <f t="shared" si="8"/>
        <v>29205</v>
      </c>
      <c r="W19" s="18">
        <f t="shared" si="9"/>
        <v>2259</v>
      </c>
      <c r="X19" s="18">
        <f t="shared" si="10"/>
        <v>1104</v>
      </c>
      <c r="Y19" s="18">
        <f t="shared" si="11"/>
        <v>0</v>
      </c>
      <c r="Z19">
        <v>8</v>
      </c>
      <c r="AA19">
        <v>8</v>
      </c>
      <c r="AB19">
        <v>0</v>
      </c>
      <c r="AC19">
        <v>4</v>
      </c>
      <c r="AD19">
        <f t="shared" si="0"/>
        <v>2</v>
      </c>
      <c r="AE19">
        <f>VLOOKUP($AE$6, 'Other Lists'!$B$27:$H$32, 7, FALSE) *AB19*8</f>
        <v>0</v>
      </c>
      <c r="AF19">
        <f>VLOOKUP($AF$6, 'Other Lists'!$B$27:$H$32, 7, FALSE) * AC19 * 8</f>
        <v>1123.2</v>
      </c>
      <c r="AG19">
        <f>VLOOKUP($AG$6, 'Other Lists'!$B$27:$H$32, 7, FALSE) * AD19 * 8</f>
        <v>518.4</v>
      </c>
      <c r="AH19">
        <f t="shared" si="12"/>
        <v>1641.6</v>
      </c>
      <c r="AI19">
        <f t="shared" si="1"/>
        <v>9.2745762711864401</v>
      </c>
      <c r="AJ19">
        <v>2</v>
      </c>
      <c r="AK19">
        <v>2</v>
      </c>
      <c r="AL19">
        <f>VLOOKUP($AL$6, 'Other Lists'!$B$27:$H$32, 7, FALSE) * AJ19 * 8</f>
        <v>648</v>
      </c>
      <c r="AM19">
        <f>VLOOKUP($AM$6, 'Other Lists'!$B$27:$H$32, 7, FALSE) * AK19 * 8</f>
        <v>648</v>
      </c>
      <c r="AN19">
        <f t="shared" si="2"/>
        <v>2937.6</v>
      </c>
    </row>
    <row r="20" spans="2:40">
      <c r="B20">
        <v>176</v>
      </c>
      <c r="C20" s="15">
        <v>45339</v>
      </c>
      <c r="D20">
        <f t="shared" si="3"/>
        <v>7</v>
      </c>
      <c r="E20">
        <f t="shared" si="4"/>
        <v>7</v>
      </c>
      <c r="F20">
        <v>1</v>
      </c>
      <c r="G20">
        <v>105</v>
      </c>
      <c r="H20">
        <v>250</v>
      </c>
      <c r="I20">
        <v>207</v>
      </c>
      <c r="J20">
        <v>0</v>
      </c>
      <c r="K20">
        <v>216</v>
      </c>
      <c r="L20">
        <v>43</v>
      </c>
      <c r="M20">
        <v>0</v>
      </c>
      <c r="N20">
        <v>194</v>
      </c>
      <c r="O20">
        <f t="shared" si="5"/>
        <v>43</v>
      </c>
      <c r="P20" s="17">
        <f t="shared" si="6"/>
        <v>0.9371980676328503</v>
      </c>
      <c r="Q20" s="18">
        <f>VLOOKUP($G$8, 'Other Lists'!$B$13:$H$15, 7, FALSE)</f>
        <v>184</v>
      </c>
      <c r="R20" s="18">
        <f>VLOOKUP($G$8, 'Other Lists'!$B$13:$F$15, 5, FALSE)</f>
        <v>129</v>
      </c>
      <c r="S20" s="18">
        <f>VLOOKUP($G$8, 'Other Lists'!$B$13:$G$15, 6, FALSE)</f>
        <v>36</v>
      </c>
      <c r="T20" s="18">
        <f t="shared" si="7"/>
        <v>165</v>
      </c>
      <c r="U20" s="18">
        <f>VLOOKUP($G$8, 'Other Lists'!$B$13:$H$15, 7, FALSE) *N20</f>
        <v>35696</v>
      </c>
      <c r="V20" s="18">
        <f t="shared" si="8"/>
        <v>34155</v>
      </c>
      <c r="W20" s="18">
        <f t="shared" si="9"/>
        <v>1541</v>
      </c>
      <c r="X20" s="18">
        <f t="shared" si="10"/>
        <v>2392</v>
      </c>
      <c r="Y20" s="18">
        <f t="shared" si="11"/>
        <v>66263</v>
      </c>
      <c r="Z20">
        <v>8</v>
      </c>
      <c r="AA20">
        <v>8</v>
      </c>
      <c r="AB20">
        <v>0</v>
      </c>
      <c r="AC20">
        <v>3</v>
      </c>
      <c r="AD20">
        <f t="shared" si="0"/>
        <v>3</v>
      </c>
      <c r="AE20">
        <f>VLOOKUP($AE$6, 'Other Lists'!$B$27:$H$32, 7, FALSE) *AB20*8</f>
        <v>0</v>
      </c>
      <c r="AF20">
        <f>VLOOKUP($AF$6, 'Other Lists'!$B$27:$H$32, 7, FALSE) * AC20 * 8</f>
        <v>842.40000000000009</v>
      </c>
      <c r="AG20">
        <f>VLOOKUP($AG$6, 'Other Lists'!$B$27:$H$32, 7, FALSE) * AD20 * 8</f>
        <v>777.59999999999991</v>
      </c>
      <c r="AH20">
        <f t="shared" si="12"/>
        <v>1641.6</v>
      </c>
      <c r="AI20">
        <f t="shared" si="1"/>
        <v>7.9304347826086952</v>
      </c>
      <c r="AJ20">
        <v>2</v>
      </c>
      <c r="AK20">
        <v>2</v>
      </c>
      <c r="AL20">
        <f>VLOOKUP($AL$6, 'Other Lists'!$B$27:$H$32, 7, FALSE) * AJ20 * 8</f>
        <v>648</v>
      </c>
      <c r="AM20">
        <f>VLOOKUP($AM$6, 'Other Lists'!$B$27:$H$32, 7, FALSE) * AK20 * 8</f>
        <v>648</v>
      </c>
      <c r="AN20">
        <f t="shared" si="2"/>
        <v>2937.6</v>
      </c>
    </row>
    <row r="21" spans="2:40">
      <c r="B21">
        <v>179</v>
      </c>
      <c r="C21" s="15">
        <v>45342</v>
      </c>
      <c r="D21">
        <f t="shared" si="3"/>
        <v>3</v>
      </c>
      <c r="E21">
        <f t="shared" si="4"/>
        <v>8</v>
      </c>
      <c r="F21">
        <v>1</v>
      </c>
      <c r="G21">
        <v>105</v>
      </c>
      <c r="H21">
        <v>222</v>
      </c>
      <c r="I21">
        <v>179</v>
      </c>
      <c r="J21">
        <v>0</v>
      </c>
      <c r="K21">
        <v>216</v>
      </c>
      <c r="L21">
        <v>43</v>
      </c>
      <c r="M21">
        <v>0</v>
      </c>
      <c r="N21">
        <v>168</v>
      </c>
      <c r="O21">
        <f t="shared" si="5"/>
        <v>43</v>
      </c>
      <c r="P21" s="17">
        <f t="shared" si="6"/>
        <v>0.93854748603351956</v>
      </c>
      <c r="Q21" s="18">
        <f>VLOOKUP($G$8, 'Other Lists'!$B$13:$H$15, 7, FALSE)</f>
        <v>184</v>
      </c>
      <c r="R21" s="18">
        <f>VLOOKUP($G$8, 'Other Lists'!$B$13:$F$15, 5, FALSE)</f>
        <v>129</v>
      </c>
      <c r="S21" s="18">
        <f>VLOOKUP($G$8, 'Other Lists'!$B$13:$G$15, 6, FALSE)</f>
        <v>36</v>
      </c>
      <c r="T21" s="18">
        <f t="shared" si="7"/>
        <v>165</v>
      </c>
      <c r="U21" s="18">
        <f>VLOOKUP($G$8, 'Other Lists'!$B$13:$H$15, 7, FALSE) *N21</f>
        <v>30912</v>
      </c>
      <c r="V21" s="18">
        <f t="shared" si="8"/>
        <v>29535</v>
      </c>
      <c r="W21" s="18">
        <f t="shared" si="9"/>
        <v>1377</v>
      </c>
      <c r="X21" s="18">
        <f t="shared" si="10"/>
        <v>2024</v>
      </c>
      <c r="Y21" s="18">
        <f t="shared" si="11"/>
        <v>59211</v>
      </c>
      <c r="Z21">
        <v>8</v>
      </c>
      <c r="AA21">
        <v>7</v>
      </c>
      <c r="AB21">
        <v>0</v>
      </c>
      <c r="AC21">
        <v>4</v>
      </c>
      <c r="AD21">
        <f t="shared" si="0"/>
        <v>1</v>
      </c>
      <c r="AE21">
        <f>VLOOKUP($AE$6, 'Other Lists'!$B$27:$H$32, 7, FALSE) *AB21*8</f>
        <v>0</v>
      </c>
      <c r="AF21">
        <f>VLOOKUP($AF$6, 'Other Lists'!$B$27:$H$32, 7, FALSE) * AC21 * 8</f>
        <v>1123.2</v>
      </c>
      <c r="AG21">
        <f>VLOOKUP($AG$6, 'Other Lists'!$B$27:$H$32, 7, FALSE) * AD21 * 8</f>
        <v>259.2</v>
      </c>
      <c r="AH21">
        <f t="shared" si="12"/>
        <v>1641.6</v>
      </c>
      <c r="AI21">
        <f t="shared" si="1"/>
        <v>9.1709497206703912</v>
      </c>
      <c r="AJ21">
        <v>2</v>
      </c>
      <c r="AK21">
        <v>2</v>
      </c>
      <c r="AL21">
        <f>VLOOKUP($AL$6, 'Other Lists'!$B$27:$H$32, 7, FALSE) * AJ21 * 8</f>
        <v>648</v>
      </c>
      <c r="AM21">
        <f>VLOOKUP($AM$6, 'Other Lists'!$B$27:$H$32, 7, FALSE) * AK21 * 8</f>
        <v>648</v>
      </c>
      <c r="AN21">
        <f t="shared" si="2"/>
        <v>2937.6</v>
      </c>
    </row>
    <row r="22" spans="2:40">
      <c r="B22">
        <v>180</v>
      </c>
      <c r="C22" s="15">
        <v>45343</v>
      </c>
      <c r="D22">
        <f t="shared" si="3"/>
        <v>4</v>
      </c>
      <c r="E22">
        <f t="shared" si="4"/>
        <v>8</v>
      </c>
      <c r="F22">
        <v>1</v>
      </c>
      <c r="G22">
        <v>105</v>
      </c>
      <c r="H22">
        <v>226</v>
      </c>
      <c r="I22">
        <v>224</v>
      </c>
      <c r="J22">
        <v>0</v>
      </c>
      <c r="K22">
        <v>216</v>
      </c>
      <c r="L22">
        <v>2</v>
      </c>
      <c r="M22">
        <v>0</v>
      </c>
      <c r="N22">
        <v>217</v>
      </c>
      <c r="O22">
        <f t="shared" si="5"/>
        <v>2</v>
      </c>
      <c r="P22" s="17">
        <f t="shared" si="6"/>
        <v>0.96875</v>
      </c>
      <c r="Q22" s="18">
        <f>VLOOKUP($G$8, 'Other Lists'!$B$13:$H$15, 7, FALSE)</f>
        <v>184</v>
      </c>
      <c r="R22" s="18">
        <f>VLOOKUP($G$8, 'Other Lists'!$B$13:$F$15, 5, FALSE)</f>
        <v>129</v>
      </c>
      <c r="S22" s="18">
        <f>VLOOKUP($G$8, 'Other Lists'!$B$13:$G$15, 6, FALSE)</f>
        <v>36</v>
      </c>
      <c r="T22" s="18">
        <f t="shared" si="7"/>
        <v>165</v>
      </c>
      <c r="U22" s="18">
        <f>VLOOKUP($G$8, 'Other Lists'!$B$13:$H$15, 7, FALSE) *N22</f>
        <v>39928</v>
      </c>
      <c r="V22" s="18">
        <f t="shared" si="8"/>
        <v>36960</v>
      </c>
      <c r="W22" s="18">
        <f t="shared" si="9"/>
        <v>2968</v>
      </c>
      <c r="X22" s="18">
        <f t="shared" si="10"/>
        <v>1288</v>
      </c>
      <c r="Y22" s="18">
        <f t="shared" si="11"/>
        <v>5936</v>
      </c>
      <c r="Z22">
        <v>8</v>
      </c>
      <c r="AA22">
        <v>8</v>
      </c>
      <c r="AB22">
        <v>0</v>
      </c>
      <c r="AC22">
        <v>3</v>
      </c>
      <c r="AD22">
        <f t="shared" si="0"/>
        <v>3</v>
      </c>
      <c r="AE22">
        <f>VLOOKUP($AE$6, 'Other Lists'!$B$27:$H$32, 7, FALSE) *AB22*8</f>
        <v>0</v>
      </c>
      <c r="AF22">
        <f>VLOOKUP($AF$6, 'Other Lists'!$B$27:$H$32, 7, FALSE) * AC22 * 8</f>
        <v>842.40000000000009</v>
      </c>
      <c r="AG22">
        <f>VLOOKUP($AG$6, 'Other Lists'!$B$27:$H$32, 7, FALSE) * AD22 * 8</f>
        <v>777.59999999999991</v>
      </c>
      <c r="AH22">
        <f t="shared" si="12"/>
        <v>1641.6</v>
      </c>
      <c r="AI22">
        <f t="shared" si="1"/>
        <v>7.3285714285714283</v>
      </c>
      <c r="AJ22">
        <v>2</v>
      </c>
      <c r="AK22">
        <v>2</v>
      </c>
      <c r="AL22">
        <f>VLOOKUP($AL$6, 'Other Lists'!$B$27:$H$32, 7, FALSE) * AJ22 * 8</f>
        <v>648</v>
      </c>
      <c r="AM22">
        <f>VLOOKUP($AM$6, 'Other Lists'!$B$27:$H$32, 7, FALSE) * AK22 * 8</f>
        <v>648</v>
      </c>
      <c r="AN22">
        <f t="shared" si="2"/>
        <v>2937.6</v>
      </c>
    </row>
    <row r="23" spans="2:40">
      <c r="B23">
        <v>181</v>
      </c>
      <c r="C23" s="15">
        <v>45344</v>
      </c>
      <c r="D23">
        <f t="shared" si="3"/>
        <v>5</v>
      </c>
      <c r="E23">
        <f t="shared" si="4"/>
        <v>8</v>
      </c>
      <c r="F23">
        <v>1</v>
      </c>
      <c r="G23">
        <v>105</v>
      </c>
      <c r="H23">
        <v>218</v>
      </c>
      <c r="I23">
        <v>216</v>
      </c>
      <c r="J23">
        <v>0</v>
      </c>
      <c r="K23">
        <v>216</v>
      </c>
      <c r="L23">
        <v>2</v>
      </c>
      <c r="M23">
        <v>0</v>
      </c>
      <c r="N23">
        <v>205</v>
      </c>
      <c r="O23">
        <f t="shared" si="5"/>
        <v>2</v>
      </c>
      <c r="P23" s="17">
        <f t="shared" si="6"/>
        <v>0.94907407407407407</v>
      </c>
      <c r="Q23" s="18">
        <f>VLOOKUP($G$8, 'Other Lists'!$B$13:$H$15, 7, FALSE)</f>
        <v>184</v>
      </c>
      <c r="R23" s="18">
        <f>VLOOKUP($G$8, 'Other Lists'!$B$13:$F$15, 5, FALSE)</f>
        <v>129</v>
      </c>
      <c r="S23" s="18">
        <f>VLOOKUP($G$8, 'Other Lists'!$B$13:$G$15, 6, FALSE)</f>
        <v>36</v>
      </c>
      <c r="T23" s="18">
        <f t="shared" si="7"/>
        <v>165</v>
      </c>
      <c r="U23" s="18">
        <f>VLOOKUP($G$8, 'Other Lists'!$B$13:$H$15, 7, FALSE) *N23</f>
        <v>37720</v>
      </c>
      <c r="V23" s="18">
        <f t="shared" si="8"/>
        <v>35640</v>
      </c>
      <c r="W23" s="18">
        <f t="shared" si="9"/>
        <v>2080</v>
      </c>
      <c r="X23" s="18">
        <f t="shared" si="10"/>
        <v>2024</v>
      </c>
      <c r="Y23" s="18">
        <f t="shared" si="11"/>
        <v>4160</v>
      </c>
      <c r="Z23">
        <v>8</v>
      </c>
      <c r="AA23">
        <v>8</v>
      </c>
      <c r="AB23">
        <v>0</v>
      </c>
      <c r="AC23">
        <v>4</v>
      </c>
      <c r="AD23">
        <f t="shared" si="0"/>
        <v>2</v>
      </c>
      <c r="AE23">
        <f>VLOOKUP($AE$6, 'Other Lists'!$B$27:$H$32, 7, FALSE) *AB23*8</f>
        <v>0</v>
      </c>
      <c r="AF23">
        <f>VLOOKUP($AF$6, 'Other Lists'!$B$27:$H$32, 7, FALSE) * AC23 * 8</f>
        <v>1123.2</v>
      </c>
      <c r="AG23">
        <f>VLOOKUP($AG$6, 'Other Lists'!$B$27:$H$32, 7, FALSE) * AD23 * 8</f>
        <v>518.4</v>
      </c>
      <c r="AH23">
        <f t="shared" si="12"/>
        <v>1641.6</v>
      </c>
      <c r="AI23">
        <f t="shared" si="1"/>
        <v>7.6</v>
      </c>
      <c r="AJ23">
        <v>2</v>
      </c>
      <c r="AK23">
        <v>2</v>
      </c>
      <c r="AL23">
        <f>VLOOKUP($AL$6, 'Other Lists'!$B$27:$H$32, 7, FALSE) * AJ23 * 8</f>
        <v>648</v>
      </c>
      <c r="AM23">
        <f>VLOOKUP($AM$6, 'Other Lists'!$B$27:$H$32, 7, FALSE) * AK23 * 8</f>
        <v>648</v>
      </c>
      <c r="AN23">
        <f t="shared" si="2"/>
        <v>2937.6</v>
      </c>
    </row>
    <row r="24" spans="2:40">
      <c r="B24">
        <v>182</v>
      </c>
      <c r="C24" s="15">
        <v>45345</v>
      </c>
      <c r="D24">
        <f t="shared" si="3"/>
        <v>6</v>
      </c>
      <c r="E24">
        <f t="shared" si="4"/>
        <v>8</v>
      </c>
      <c r="F24">
        <v>1</v>
      </c>
      <c r="G24">
        <v>105</v>
      </c>
      <c r="H24">
        <v>194</v>
      </c>
      <c r="I24">
        <v>194</v>
      </c>
      <c r="J24">
        <v>0</v>
      </c>
      <c r="K24">
        <v>216</v>
      </c>
      <c r="L24">
        <v>0</v>
      </c>
      <c r="M24">
        <v>0</v>
      </c>
      <c r="N24">
        <v>180</v>
      </c>
      <c r="O24">
        <f t="shared" si="5"/>
        <v>0</v>
      </c>
      <c r="P24" s="17">
        <f t="shared" si="6"/>
        <v>0.92783505154639179</v>
      </c>
      <c r="Q24" s="18">
        <f>VLOOKUP($G$8, 'Other Lists'!$B$13:$H$15, 7, FALSE)</f>
        <v>184</v>
      </c>
      <c r="R24" s="18">
        <f>VLOOKUP($G$8, 'Other Lists'!$B$13:$F$15, 5, FALSE)</f>
        <v>129</v>
      </c>
      <c r="S24" s="18">
        <f>VLOOKUP($G$8, 'Other Lists'!$B$13:$G$15, 6, FALSE)</f>
        <v>36</v>
      </c>
      <c r="T24" s="18">
        <f t="shared" si="7"/>
        <v>165</v>
      </c>
      <c r="U24" s="18">
        <f>VLOOKUP($G$8, 'Other Lists'!$B$13:$H$15, 7, FALSE) *N24</f>
        <v>33120</v>
      </c>
      <c r="V24" s="18">
        <f t="shared" si="8"/>
        <v>32010</v>
      </c>
      <c r="W24" s="18">
        <f t="shared" si="9"/>
        <v>1110</v>
      </c>
      <c r="X24" s="18">
        <f t="shared" si="10"/>
        <v>2576</v>
      </c>
      <c r="Y24" s="18">
        <f t="shared" si="11"/>
        <v>0</v>
      </c>
      <c r="Z24">
        <v>8</v>
      </c>
      <c r="AA24">
        <v>8</v>
      </c>
      <c r="AB24">
        <v>0</v>
      </c>
      <c r="AC24">
        <v>3</v>
      </c>
      <c r="AD24">
        <f t="shared" si="0"/>
        <v>3</v>
      </c>
      <c r="AE24">
        <f>VLOOKUP($AE$6, 'Other Lists'!$B$27:$H$32, 7, FALSE) *AB24*8</f>
        <v>0</v>
      </c>
      <c r="AF24">
        <f>VLOOKUP($AF$6, 'Other Lists'!$B$27:$H$32, 7, FALSE) * AC24 * 8</f>
        <v>842.40000000000009</v>
      </c>
      <c r="AG24">
        <f>VLOOKUP($AG$6, 'Other Lists'!$B$27:$H$32, 7, FALSE) * AD24 * 8</f>
        <v>777.59999999999991</v>
      </c>
      <c r="AH24">
        <f t="shared" si="12"/>
        <v>1641.6</v>
      </c>
      <c r="AI24">
        <f t="shared" si="1"/>
        <v>8.4618556701030929</v>
      </c>
      <c r="AJ24">
        <v>2</v>
      </c>
      <c r="AK24">
        <v>2</v>
      </c>
      <c r="AL24">
        <f>VLOOKUP($AL$6, 'Other Lists'!$B$27:$H$32, 7, FALSE) * AJ24 * 8</f>
        <v>648</v>
      </c>
      <c r="AM24">
        <f>VLOOKUP($AM$6, 'Other Lists'!$B$27:$H$32, 7, FALSE) * AK24 * 8</f>
        <v>648</v>
      </c>
      <c r="AN24">
        <f t="shared" si="2"/>
        <v>2937.6</v>
      </c>
    </row>
    <row r="25" spans="2:40">
      <c r="B25">
        <v>183</v>
      </c>
      <c r="C25" s="15">
        <v>45346</v>
      </c>
      <c r="D25">
        <f t="shared" si="3"/>
        <v>7</v>
      </c>
      <c r="E25">
        <f t="shared" si="4"/>
        <v>8</v>
      </c>
      <c r="F25">
        <v>1</v>
      </c>
      <c r="G25">
        <v>105</v>
      </c>
      <c r="H25">
        <v>252</v>
      </c>
      <c r="I25">
        <v>222</v>
      </c>
      <c r="J25">
        <v>0</v>
      </c>
      <c r="K25">
        <v>216</v>
      </c>
      <c r="L25">
        <v>30</v>
      </c>
      <c r="M25">
        <v>0</v>
      </c>
      <c r="N25">
        <v>215</v>
      </c>
      <c r="O25">
        <f t="shared" si="5"/>
        <v>30</v>
      </c>
      <c r="P25" s="17">
        <f t="shared" si="6"/>
        <v>0.96846846846846846</v>
      </c>
      <c r="Q25" s="18">
        <f>VLOOKUP($G$8, 'Other Lists'!$B$13:$H$15, 7, FALSE)</f>
        <v>184</v>
      </c>
      <c r="R25" s="18">
        <f>VLOOKUP($G$8, 'Other Lists'!$B$13:$F$15, 5, FALSE)</f>
        <v>129</v>
      </c>
      <c r="S25" s="18">
        <f>VLOOKUP($G$8, 'Other Lists'!$B$13:$G$15, 6, FALSE)</f>
        <v>36</v>
      </c>
      <c r="T25" s="18">
        <f t="shared" si="7"/>
        <v>165</v>
      </c>
      <c r="U25" s="18">
        <f>VLOOKUP($G$8, 'Other Lists'!$B$13:$H$15, 7, FALSE) *N25</f>
        <v>39560</v>
      </c>
      <c r="V25" s="18">
        <f t="shared" si="8"/>
        <v>36630</v>
      </c>
      <c r="W25" s="18">
        <f t="shared" si="9"/>
        <v>2930</v>
      </c>
      <c r="X25" s="18">
        <f t="shared" si="10"/>
        <v>1288</v>
      </c>
      <c r="Y25" s="18">
        <f t="shared" si="11"/>
        <v>87900</v>
      </c>
      <c r="Z25">
        <v>8</v>
      </c>
      <c r="AA25">
        <v>8</v>
      </c>
      <c r="AB25">
        <v>0</v>
      </c>
      <c r="AC25">
        <v>3</v>
      </c>
      <c r="AD25">
        <f t="shared" si="0"/>
        <v>3</v>
      </c>
      <c r="AE25">
        <f>VLOOKUP($AE$6, 'Other Lists'!$B$27:$H$32, 7, FALSE) *AB25*8</f>
        <v>0</v>
      </c>
      <c r="AF25">
        <f>VLOOKUP($AF$6, 'Other Lists'!$B$27:$H$32, 7, FALSE) * AC25 * 8</f>
        <v>842.40000000000009</v>
      </c>
      <c r="AG25">
        <f>VLOOKUP($AG$6, 'Other Lists'!$B$27:$H$32, 7, FALSE) * AD25 * 8</f>
        <v>777.59999999999991</v>
      </c>
      <c r="AH25">
        <f t="shared" si="12"/>
        <v>1641.6</v>
      </c>
      <c r="AI25">
        <f t="shared" si="1"/>
        <v>7.3945945945945946</v>
      </c>
      <c r="AJ25">
        <v>2</v>
      </c>
      <c r="AK25">
        <v>2</v>
      </c>
      <c r="AL25">
        <f>VLOOKUP($AL$6, 'Other Lists'!$B$27:$H$32, 7, FALSE) * AJ25 * 8</f>
        <v>648</v>
      </c>
      <c r="AM25">
        <f>VLOOKUP($AM$6, 'Other Lists'!$B$27:$H$32, 7, FALSE) * AK25 * 8</f>
        <v>648</v>
      </c>
      <c r="AN25">
        <f t="shared" si="2"/>
        <v>2937.6</v>
      </c>
    </row>
    <row r="26" spans="2:40">
      <c r="B26">
        <v>186</v>
      </c>
      <c r="C26" s="15">
        <v>45349</v>
      </c>
      <c r="D26">
        <f t="shared" si="3"/>
        <v>3</v>
      </c>
      <c r="E26">
        <f t="shared" si="4"/>
        <v>9</v>
      </c>
      <c r="F26">
        <v>1</v>
      </c>
      <c r="G26">
        <v>105</v>
      </c>
      <c r="H26">
        <v>211</v>
      </c>
      <c r="I26">
        <v>209</v>
      </c>
      <c r="J26">
        <v>0</v>
      </c>
      <c r="K26">
        <v>216</v>
      </c>
      <c r="L26">
        <v>2</v>
      </c>
      <c r="M26">
        <v>0</v>
      </c>
      <c r="N26">
        <v>202</v>
      </c>
      <c r="O26">
        <f t="shared" si="5"/>
        <v>2</v>
      </c>
      <c r="P26" s="17">
        <f t="shared" si="6"/>
        <v>0.96650717703349287</v>
      </c>
      <c r="Q26" s="18">
        <f>VLOOKUP($G$8, 'Other Lists'!$B$13:$H$15, 7, FALSE)</f>
        <v>184</v>
      </c>
      <c r="R26" s="18">
        <f>VLOOKUP($G$8, 'Other Lists'!$B$13:$F$15, 5, FALSE)</f>
        <v>129</v>
      </c>
      <c r="S26" s="18">
        <f>VLOOKUP($G$8, 'Other Lists'!$B$13:$G$15, 6, FALSE)</f>
        <v>36</v>
      </c>
      <c r="T26" s="18">
        <f t="shared" si="7"/>
        <v>165</v>
      </c>
      <c r="U26" s="18">
        <f>VLOOKUP($G$8, 'Other Lists'!$B$13:$H$15, 7, FALSE) *N26</f>
        <v>37168</v>
      </c>
      <c r="V26" s="18">
        <f t="shared" si="8"/>
        <v>34485</v>
      </c>
      <c r="W26" s="18">
        <f t="shared" si="9"/>
        <v>2683</v>
      </c>
      <c r="X26" s="18">
        <f t="shared" si="10"/>
        <v>1288</v>
      </c>
      <c r="Y26" s="18">
        <f t="shared" si="11"/>
        <v>5366</v>
      </c>
      <c r="Z26">
        <v>8</v>
      </c>
      <c r="AA26">
        <v>8</v>
      </c>
      <c r="AB26">
        <v>0</v>
      </c>
      <c r="AC26">
        <v>4</v>
      </c>
      <c r="AD26">
        <f t="shared" si="0"/>
        <v>2</v>
      </c>
      <c r="AE26">
        <f>VLOOKUP($AE$6, 'Other Lists'!$B$27:$H$32, 7, FALSE) *AB26*8</f>
        <v>0</v>
      </c>
      <c r="AF26">
        <f>VLOOKUP($AF$6, 'Other Lists'!$B$27:$H$32, 7, FALSE) * AC26 * 8</f>
        <v>1123.2</v>
      </c>
      <c r="AG26">
        <f>VLOOKUP($AG$6, 'Other Lists'!$B$27:$H$32, 7, FALSE) * AD26 * 8</f>
        <v>518.4</v>
      </c>
      <c r="AH26">
        <f t="shared" si="12"/>
        <v>1641.6</v>
      </c>
      <c r="AI26">
        <f t="shared" si="1"/>
        <v>7.8545454545454545</v>
      </c>
      <c r="AJ26">
        <v>2</v>
      </c>
      <c r="AK26">
        <v>2</v>
      </c>
      <c r="AL26">
        <f>VLOOKUP($AL$6, 'Other Lists'!$B$27:$H$32, 7, FALSE) * AJ26 * 8</f>
        <v>648</v>
      </c>
      <c r="AM26">
        <f>VLOOKUP($AM$6, 'Other Lists'!$B$27:$H$32, 7, FALSE) * AK26 * 8</f>
        <v>648</v>
      </c>
      <c r="AN26">
        <f t="shared" si="2"/>
        <v>2937.6</v>
      </c>
    </row>
    <row r="27" spans="2:40">
      <c r="B27">
        <v>187</v>
      </c>
      <c r="C27" s="15">
        <v>45350</v>
      </c>
      <c r="D27">
        <f t="shared" si="3"/>
        <v>4</v>
      </c>
      <c r="E27">
        <f t="shared" si="4"/>
        <v>9</v>
      </c>
      <c r="F27">
        <v>1</v>
      </c>
      <c r="G27">
        <v>105</v>
      </c>
      <c r="H27">
        <v>190</v>
      </c>
      <c r="I27">
        <v>190</v>
      </c>
      <c r="J27">
        <v>0</v>
      </c>
      <c r="K27">
        <v>216</v>
      </c>
      <c r="L27">
        <v>0</v>
      </c>
      <c r="M27">
        <v>0</v>
      </c>
      <c r="N27">
        <v>176</v>
      </c>
      <c r="O27">
        <f t="shared" si="5"/>
        <v>0</v>
      </c>
      <c r="P27" s="17">
        <f t="shared" si="6"/>
        <v>0.9263157894736842</v>
      </c>
      <c r="Q27" s="18">
        <f>VLOOKUP($G$8, 'Other Lists'!$B$13:$H$15, 7, FALSE)</f>
        <v>184</v>
      </c>
      <c r="R27" s="18">
        <f>VLOOKUP($G$8, 'Other Lists'!$B$13:$F$15, 5, FALSE)</f>
        <v>129</v>
      </c>
      <c r="S27" s="18">
        <f>VLOOKUP($G$8, 'Other Lists'!$B$13:$G$15, 6, FALSE)</f>
        <v>36</v>
      </c>
      <c r="T27" s="18">
        <f t="shared" si="7"/>
        <v>165</v>
      </c>
      <c r="U27" s="18">
        <f>VLOOKUP($G$8, 'Other Lists'!$B$13:$H$15, 7, FALSE) *N27</f>
        <v>32384</v>
      </c>
      <c r="V27" s="18">
        <f t="shared" si="8"/>
        <v>31350</v>
      </c>
      <c r="W27" s="18">
        <f t="shared" si="9"/>
        <v>1034</v>
      </c>
      <c r="X27" s="18">
        <f t="shared" si="10"/>
        <v>2576</v>
      </c>
      <c r="Y27" s="18">
        <f t="shared" si="11"/>
        <v>0</v>
      </c>
      <c r="Z27">
        <v>8</v>
      </c>
      <c r="AA27">
        <v>8</v>
      </c>
      <c r="AB27">
        <v>0</v>
      </c>
      <c r="AC27">
        <v>3</v>
      </c>
      <c r="AD27">
        <f t="shared" si="0"/>
        <v>3</v>
      </c>
      <c r="AE27">
        <f>VLOOKUP($AE$6, 'Other Lists'!$B$27:$H$32, 7, FALSE) *AB27*8</f>
        <v>0</v>
      </c>
      <c r="AF27">
        <f>VLOOKUP($AF$6, 'Other Lists'!$B$27:$H$32, 7, FALSE) * AC27 * 8</f>
        <v>842.40000000000009</v>
      </c>
      <c r="AG27">
        <f>VLOOKUP($AG$6, 'Other Lists'!$B$27:$H$32, 7, FALSE) * AD27 * 8</f>
        <v>777.59999999999991</v>
      </c>
      <c r="AH27">
        <f t="shared" si="12"/>
        <v>1641.6</v>
      </c>
      <c r="AI27">
        <f t="shared" si="1"/>
        <v>8.6399999999999988</v>
      </c>
      <c r="AJ27">
        <v>2</v>
      </c>
      <c r="AK27">
        <v>2</v>
      </c>
      <c r="AL27">
        <f>VLOOKUP($AL$6, 'Other Lists'!$B$27:$H$32, 7, FALSE) * AJ27 * 8</f>
        <v>648</v>
      </c>
      <c r="AM27">
        <f>VLOOKUP($AM$6, 'Other Lists'!$B$27:$H$32, 7, FALSE) * AK27 * 8</f>
        <v>648</v>
      </c>
      <c r="AN27">
        <f t="shared" si="2"/>
        <v>2937.6</v>
      </c>
    </row>
    <row r="28" spans="2:40">
      <c r="B28">
        <v>188</v>
      </c>
      <c r="C28" s="15">
        <v>45351</v>
      </c>
      <c r="D28">
        <f t="shared" si="3"/>
        <v>5</v>
      </c>
      <c r="E28">
        <f t="shared" si="4"/>
        <v>9</v>
      </c>
      <c r="F28">
        <v>1</v>
      </c>
      <c r="G28">
        <v>105</v>
      </c>
      <c r="H28">
        <v>205</v>
      </c>
      <c r="I28">
        <v>205</v>
      </c>
      <c r="J28">
        <v>0</v>
      </c>
      <c r="K28">
        <v>216</v>
      </c>
      <c r="L28">
        <v>0</v>
      </c>
      <c r="M28">
        <v>0</v>
      </c>
      <c r="N28">
        <v>200</v>
      </c>
      <c r="O28">
        <f t="shared" si="5"/>
        <v>0</v>
      </c>
      <c r="P28" s="17">
        <f t="shared" si="6"/>
        <v>0.97560975609756095</v>
      </c>
      <c r="Q28" s="18">
        <f>VLOOKUP($G$8, 'Other Lists'!$B$13:$H$15, 7, FALSE)</f>
        <v>184</v>
      </c>
      <c r="R28" s="18">
        <f>VLOOKUP($G$8, 'Other Lists'!$B$13:$F$15, 5, FALSE)</f>
        <v>129</v>
      </c>
      <c r="S28" s="18">
        <f>VLOOKUP($G$8, 'Other Lists'!$B$13:$G$15, 6, FALSE)</f>
        <v>36</v>
      </c>
      <c r="T28" s="18">
        <f t="shared" si="7"/>
        <v>165</v>
      </c>
      <c r="U28" s="18">
        <f>VLOOKUP($G$8, 'Other Lists'!$B$13:$H$15, 7, FALSE) *N28</f>
        <v>36800</v>
      </c>
      <c r="V28" s="18">
        <f t="shared" si="8"/>
        <v>33825</v>
      </c>
      <c r="W28" s="18">
        <f t="shared" si="9"/>
        <v>2975</v>
      </c>
      <c r="X28" s="18">
        <f t="shared" si="10"/>
        <v>920</v>
      </c>
      <c r="Y28" s="18">
        <f t="shared" si="11"/>
        <v>0</v>
      </c>
      <c r="Z28">
        <v>8</v>
      </c>
      <c r="AA28">
        <v>8</v>
      </c>
      <c r="AB28">
        <v>0</v>
      </c>
      <c r="AC28">
        <v>3</v>
      </c>
      <c r="AD28">
        <f t="shared" si="0"/>
        <v>3</v>
      </c>
      <c r="AE28">
        <f>VLOOKUP($AE$6, 'Other Lists'!$B$27:$H$32, 7, FALSE) *AB28*8</f>
        <v>0</v>
      </c>
      <c r="AF28">
        <f>VLOOKUP($AF$6, 'Other Lists'!$B$27:$H$32, 7, FALSE) * AC28 * 8</f>
        <v>842.40000000000009</v>
      </c>
      <c r="AG28">
        <f>VLOOKUP($AG$6, 'Other Lists'!$B$27:$H$32, 7, FALSE) * AD28 * 8</f>
        <v>777.59999999999991</v>
      </c>
      <c r="AH28">
        <f t="shared" si="12"/>
        <v>1641.6</v>
      </c>
      <c r="AI28">
        <f t="shared" si="1"/>
        <v>8.0078048780487805</v>
      </c>
      <c r="AJ28">
        <v>2</v>
      </c>
      <c r="AK28">
        <v>2</v>
      </c>
      <c r="AL28">
        <f>VLOOKUP($AL$6, 'Other Lists'!$B$27:$H$32, 7, FALSE) * AJ28 * 8</f>
        <v>648</v>
      </c>
      <c r="AM28">
        <f>VLOOKUP($AM$6, 'Other Lists'!$B$27:$H$32, 7, FALSE) * AK28 * 8</f>
        <v>648</v>
      </c>
      <c r="AN28">
        <f t="shared" si="2"/>
        <v>2937.6</v>
      </c>
    </row>
    <row r="29" spans="2:40">
      <c r="B29">
        <v>189</v>
      </c>
      <c r="C29" s="15">
        <v>45323</v>
      </c>
      <c r="D29">
        <f t="shared" si="3"/>
        <v>5</v>
      </c>
      <c r="E29">
        <f t="shared" si="4"/>
        <v>5</v>
      </c>
      <c r="F29">
        <v>2</v>
      </c>
      <c r="G29">
        <v>105</v>
      </c>
      <c r="H29">
        <v>166</v>
      </c>
      <c r="I29">
        <v>166</v>
      </c>
      <c r="J29">
        <v>0</v>
      </c>
      <c r="K29">
        <v>189</v>
      </c>
      <c r="L29">
        <v>0</v>
      </c>
      <c r="M29">
        <v>0</v>
      </c>
      <c r="N29">
        <v>159</v>
      </c>
      <c r="O29">
        <f t="shared" si="5"/>
        <v>0</v>
      </c>
      <c r="P29" s="17">
        <f t="shared" si="6"/>
        <v>0.95783132530120485</v>
      </c>
      <c r="Q29" s="18">
        <f>VLOOKUP($G$8, 'Other Lists'!$B$13:$H$15, 7, FALSE)</f>
        <v>184</v>
      </c>
      <c r="R29" s="18">
        <f>VLOOKUP($G$8, 'Other Lists'!$B$13:$F$15, 5, FALSE)</f>
        <v>129</v>
      </c>
      <c r="S29" s="18">
        <f>VLOOKUP($G$8, 'Other Lists'!$B$13:$G$15, 6, FALSE)</f>
        <v>36</v>
      </c>
      <c r="T29" s="18">
        <f t="shared" si="7"/>
        <v>165</v>
      </c>
      <c r="U29" s="18">
        <f>VLOOKUP($G$8, 'Other Lists'!$B$13:$H$15, 7, FALSE) *N29</f>
        <v>29256</v>
      </c>
      <c r="V29" s="18">
        <f t="shared" si="8"/>
        <v>27390</v>
      </c>
      <c r="W29" s="18">
        <f t="shared" si="9"/>
        <v>1866</v>
      </c>
      <c r="X29" s="18">
        <f t="shared" si="10"/>
        <v>1288</v>
      </c>
      <c r="Y29" s="18">
        <f t="shared" si="11"/>
        <v>0</v>
      </c>
      <c r="Z29">
        <v>7</v>
      </c>
      <c r="AA29">
        <v>7</v>
      </c>
      <c r="AB29">
        <v>1</v>
      </c>
      <c r="AC29">
        <v>4</v>
      </c>
      <c r="AD29">
        <f t="shared" si="0"/>
        <v>0</v>
      </c>
      <c r="AE29">
        <f>VLOOKUP($AE$6, 'Other Lists'!$B$27:$H$32, 7, FALSE) *AB29*8</f>
        <v>194.4</v>
      </c>
      <c r="AF29">
        <f>VLOOKUP($AF$6, 'Other Lists'!$B$27:$H$32, 7, FALSE) * AC29 * 8</f>
        <v>1123.2</v>
      </c>
      <c r="AG29">
        <f>VLOOKUP($AG$6, 'Other Lists'!$B$27:$H$32, 7, FALSE) * AD29 * 8</f>
        <v>0</v>
      </c>
      <c r="AH29">
        <f t="shared" si="12"/>
        <v>1641.6</v>
      </c>
      <c r="AI29">
        <f t="shared" si="1"/>
        <v>9.8891566265060238</v>
      </c>
      <c r="AJ29">
        <v>2</v>
      </c>
      <c r="AK29">
        <v>2</v>
      </c>
      <c r="AL29">
        <f>VLOOKUP($AL$6, 'Other Lists'!$B$27:$H$32, 7, FALSE) * AJ29 * 8</f>
        <v>648</v>
      </c>
      <c r="AM29">
        <f>VLOOKUP($AM$6, 'Other Lists'!$B$27:$H$32, 7, FALSE) * AK29 * 8</f>
        <v>648</v>
      </c>
      <c r="AN29">
        <f t="shared" si="2"/>
        <v>2937.6</v>
      </c>
    </row>
    <row r="30" spans="2:40">
      <c r="B30">
        <v>190</v>
      </c>
      <c r="C30" s="15">
        <v>45324</v>
      </c>
      <c r="D30">
        <f t="shared" si="3"/>
        <v>6</v>
      </c>
      <c r="E30">
        <f t="shared" si="4"/>
        <v>5</v>
      </c>
      <c r="F30">
        <v>2</v>
      </c>
      <c r="G30">
        <v>105</v>
      </c>
      <c r="H30">
        <v>207</v>
      </c>
      <c r="I30">
        <v>190</v>
      </c>
      <c r="J30">
        <v>0</v>
      </c>
      <c r="K30">
        <v>189</v>
      </c>
      <c r="L30">
        <v>17</v>
      </c>
      <c r="M30">
        <v>0</v>
      </c>
      <c r="N30">
        <v>176</v>
      </c>
      <c r="O30">
        <f t="shared" si="5"/>
        <v>17</v>
      </c>
      <c r="P30" s="17">
        <f t="shared" si="6"/>
        <v>0.9263157894736842</v>
      </c>
      <c r="Q30" s="18">
        <f>VLOOKUP($G$8, 'Other Lists'!$B$13:$H$15, 7, FALSE)</f>
        <v>184</v>
      </c>
      <c r="R30" s="18">
        <f>VLOOKUP($G$8, 'Other Lists'!$B$13:$F$15, 5, FALSE)</f>
        <v>129</v>
      </c>
      <c r="S30" s="18">
        <f>VLOOKUP($G$8, 'Other Lists'!$B$13:$G$15, 6, FALSE)</f>
        <v>36</v>
      </c>
      <c r="T30" s="18">
        <f t="shared" si="7"/>
        <v>165</v>
      </c>
      <c r="U30" s="18">
        <f>VLOOKUP($G$8, 'Other Lists'!$B$13:$H$15, 7, FALSE) *N30</f>
        <v>32384</v>
      </c>
      <c r="V30" s="18">
        <f t="shared" si="8"/>
        <v>31350</v>
      </c>
      <c r="W30" s="18">
        <f t="shared" si="9"/>
        <v>1034</v>
      </c>
      <c r="X30" s="18">
        <f t="shared" si="10"/>
        <v>2576</v>
      </c>
      <c r="Y30" s="18">
        <f t="shared" si="11"/>
        <v>17578</v>
      </c>
      <c r="Z30">
        <v>7</v>
      </c>
      <c r="AA30">
        <v>7</v>
      </c>
      <c r="AB30">
        <v>0</v>
      </c>
      <c r="AC30">
        <v>4</v>
      </c>
      <c r="AD30">
        <f t="shared" si="0"/>
        <v>1</v>
      </c>
      <c r="AE30">
        <f>VLOOKUP($AE$6, 'Other Lists'!$B$27:$H$32, 7, FALSE) *AB30*8</f>
        <v>0</v>
      </c>
      <c r="AF30">
        <f>VLOOKUP($AF$6, 'Other Lists'!$B$27:$H$32, 7, FALSE) * AC30 * 8</f>
        <v>1123.2</v>
      </c>
      <c r="AG30">
        <f>VLOOKUP($AG$6, 'Other Lists'!$B$27:$H$32, 7, FALSE) * AD30 * 8</f>
        <v>259.2</v>
      </c>
      <c r="AH30">
        <f t="shared" si="12"/>
        <v>1641.6</v>
      </c>
      <c r="AI30">
        <f t="shared" si="1"/>
        <v>8.6399999999999988</v>
      </c>
      <c r="AJ30">
        <v>2</v>
      </c>
      <c r="AK30">
        <v>2</v>
      </c>
      <c r="AL30">
        <f>VLOOKUP($AL$6, 'Other Lists'!$B$27:$H$32, 7, FALSE) * AJ30 * 8</f>
        <v>648</v>
      </c>
      <c r="AM30">
        <f>VLOOKUP($AM$6, 'Other Lists'!$B$27:$H$32, 7, FALSE) * AK30 * 8</f>
        <v>648</v>
      </c>
      <c r="AN30">
        <f t="shared" si="2"/>
        <v>2937.6</v>
      </c>
    </row>
    <row r="31" spans="2:40">
      <c r="B31">
        <v>191</v>
      </c>
      <c r="C31" s="15">
        <v>45325</v>
      </c>
      <c r="D31">
        <f t="shared" si="3"/>
        <v>7</v>
      </c>
      <c r="E31">
        <f t="shared" si="4"/>
        <v>5</v>
      </c>
      <c r="F31">
        <v>2</v>
      </c>
      <c r="G31">
        <v>105</v>
      </c>
      <c r="H31">
        <v>151</v>
      </c>
      <c r="I31">
        <v>151</v>
      </c>
      <c r="J31">
        <v>0</v>
      </c>
      <c r="K31">
        <v>189</v>
      </c>
      <c r="L31">
        <v>0</v>
      </c>
      <c r="M31">
        <v>0</v>
      </c>
      <c r="N31">
        <v>141</v>
      </c>
      <c r="O31">
        <f t="shared" si="5"/>
        <v>0</v>
      </c>
      <c r="P31" s="17">
        <f t="shared" si="6"/>
        <v>0.93377483443708609</v>
      </c>
      <c r="Q31" s="18">
        <f>VLOOKUP($G$8, 'Other Lists'!$B$13:$H$15, 7, FALSE)</f>
        <v>184</v>
      </c>
      <c r="R31" s="18">
        <f>VLOOKUP($G$8, 'Other Lists'!$B$13:$F$15, 5, FALSE)</f>
        <v>129</v>
      </c>
      <c r="S31" s="18">
        <f>VLOOKUP($G$8, 'Other Lists'!$B$13:$G$15, 6, FALSE)</f>
        <v>36</v>
      </c>
      <c r="T31" s="18">
        <f t="shared" si="7"/>
        <v>165</v>
      </c>
      <c r="U31" s="18">
        <f>VLOOKUP($G$8, 'Other Lists'!$B$13:$H$15, 7, FALSE) *N31</f>
        <v>25944</v>
      </c>
      <c r="V31" s="18">
        <f t="shared" si="8"/>
        <v>24915</v>
      </c>
      <c r="W31" s="18">
        <f t="shared" si="9"/>
        <v>1029</v>
      </c>
      <c r="X31" s="18">
        <f t="shared" si="10"/>
        <v>1840</v>
      </c>
      <c r="Y31" s="18">
        <f t="shared" si="11"/>
        <v>0</v>
      </c>
      <c r="Z31">
        <v>7</v>
      </c>
      <c r="AA31">
        <v>6</v>
      </c>
      <c r="AB31">
        <v>0</v>
      </c>
      <c r="AC31">
        <v>4</v>
      </c>
      <c r="AD31">
        <f t="shared" si="0"/>
        <v>0</v>
      </c>
      <c r="AE31">
        <f>VLOOKUP($AE$6, 'Other Lists'!$B$27:$H$32, 7, FALSE) *AB31*8</f>
        <v>0</v>
      </c>
      <c r="AF31">
        <f>VLOOKUP($AF$6, 'Other Lists'!$B$27:$H$32, 7, FALSE) * AC31 * 8</f>
        <v>1123.2</v>
      </c>
      <c r="AG31">
        <f>VLOOKUP($AG$6, 'Other Lists'!$B$27:$H$32, 7, FALSE) * AD31 * 8</f>
        <v>0</v>
      </c>
      <c r="AH31">
        <f t="shared" si="12"/>
        <v>1641.6</v>
      </c>
      <c r="AI31">
        <f t="shared" si="1"/>
        <v>10.871523178807946</v>
      </c>
      <c r="AJ31">
        <v>2</v>
      </c>
      <c r="AK31">
        <v>2</v>
      </c>
      <c r="AL31">
        <f>VLOOKUP($AL$6, 'Other Lists'!$B$27:$H$32, 7, FALSE) * AJ31 * 8</f>
        <v>648</v>
      </c>
      <c r="AM31">
        <f>VLOOKUP($AM$6, 'Other Lists'!$B$27:$H$32, 7, FALSE) * AK31 * 8</f>
        <v>648</v>
      </c>
      <c r="AN31">
        <f t="shared" si="2"/>
        <v>2937.6</v>
      </c>
    </row>
    <row r="32" spans="2:40">
      <c r="B32">
        <v>194</v>
      </c>
      <c r="C32" s="15">
        <v>45328</v>
      </c>
      <c r="D32">
        <f t="shared" si="3"/>
        <v>3</v>
      </c>
      <c r="E32">
        <f t="shared" si="4"/>
        <v>6</v>
      </c>
      <c r="F32">
        <v>2</v>
      </c>
      <c r="G32">
        <v>105</v>
      </c>
      <c r="H32">
        <v>154</v>
      </c>
      <c r="I32">
        <v>154</v>
      </c>
      <c r="J32">
        <v>0</v>
      </c>
      <c r="K32">
        <v>189</v>
      </c>
      <c r="L32">
        <v>0</v>
      </c>
      <c r="M32">
        <v>0</v>
      </c>
      <c r="N32">
        <v>147</v>
      </c>
      <c r="O32">
        <f t="shared" si="5"/>
        <v>0</v>
      </c>
      <c r="P32" s="17">
        <f t="shared" si="6"/>
        <v>0.95454545454545459</v>
      </c>
      <c r="Q32" s="18">
        <f>VLOOKUP($G$8, 'Other Lists'!$B$13:$H$15, 7, FALSE)</f>
        <v>184</v>
      </c>
      <c r="R32" s="18">
        <f>VLOOKUP($G$8, 'Other Lists'!$B$13:$F$15, 5, FALSE)</f>
        <v>129</v>
      </c>
      <c r="S32" s="18">
        <f>VLOOKUP($G$8, 'Other Lists'!$B$13:$G$15, 6, FALSE)</f>
        <v>36</v>
      </c>
      <c r="T32" s="18">
        <f t="shared" si="7"/>
        <v>165</v>
      </c>
      <c r="U32" s="18">
        <f>VLOOKUP($G$8, 'Other Lists'!$B$13:$H$15, 7, FALSE) *N32</f>
        <v>27048</v>
      </c>
      <c r="V32" s="18">
        <f t="shared" si="8"/>
        <v>25410</v>
      </c>
      <c r="W32" s="18">
        <f t="shared" si="9"/>
        <v>1638</v>
      </c>
      <c r="X32" s="18">
        <f t="shared" si="10"/>
        <v>1288</v>
      </c>
      <c r="Y32" s="18">
        <f t="shared" si="11"/>
        <v>0</v>
      </c>
      <c r="Z32">
        <v>7</v>
      </c>
      <c r="AA32">
        <v>7</v>
      </c>
      <c r="AB32">
        <v>0</v>
      </c>
      <c r="AC32">
        <v>3</v>
      </c>
      <c r="AD32">
        <f t="shared" ref="AD32:AD53" si="13">AA32-AB32-AC32-AJ32</f>
        <v>2</v>
      </c>
      <c r="AE32">
        <f>VLOOKUP($AE$6, 'Other Lists'!$B$27:$H$32, 7, FALSE) *AB32*8</f>
        <v>0</v>
      </c>
      <c r="AF32">
        <f>VLOOKUP($AF$6, 'Other Lists'!$B$27:$H$32, 7, FALSE) * AC32 * 8</f>
        <v>842.40000000000009</v>
      </c>
      <c r="AG32">
        <f>VLOOKUP($AG$6, 'Other Lists'!$B$27:$H$32, 7, FALSE) * AD32 * 8</f>
        <v>518.4</v>
      </c>
      <c r="AH32">
        <f t="shared" si="12"/>
        <v>1641.6</v>
      </c>
      <c r="AI32">
        <f t="shared" si="1"/>
        <v>10.659740259740259</v>
      </c>
      <c r="AJ32">
        <v>2</v>
      </c>
      <c r="AK32">
        <v>2</v>
      </c>
      <c r="AL32">
        <f>VLOOKUP($AL$6, 'Other Lists'!$B$27:$H$32, 7, FALSE) * AJ32 * 8</f>
        <v>648</v>
      </c>
      <c r="AM32">
        <f>VLOOKUP($AM$6, 'Other Lists'!$B$27:$H$32, 7, FALSE) * AK32 * 8</f>
        <v>648</v>
      </c>
      <c r="AN32">
        <f t="shared" ref="AN32:AN53" si="14">SUM(AH32,AL32,AM32)</f>
        <v>2937.6</v>
      </c>
    </row>
    <row r="33" spans="2:40">
      <c r="B33">
        <v>195</v>
      </c>
      <c r="C33" s="15">
        <v>45329</v>
      </c>
      <c r="D33">
        <f t="shared" si="3"/>
        <v>4</v>
      </c>
      <c r="E33">
        <f t="shared" si="4"/>
        <v>6</v>
      </c>
      <c r="F33">
        <v>2</v>
      </c>
      <c r="G33">
        <v>105</v>
      </c>
      <c r="H33">
        <v>207</v>
      </c>
      <c r="I33">
        <v>162</v>
      </c>
      <c r="J33">
        <v>0</v>
      </c>
      <c r="K33">
        <v>189</v>
      </c>
      <c r="L33">
        <v>45</v>
      </c>
      <c r="M33">
        <v>0</v>
      </c>
      <c r="N33">
        <v>153</v>
      </c>
      <c r="O33">
        <f t="shared" si="5"/>
        <v>45</v>
      </c>
      <c r="P33" s="17">
        <f t="shared" si="6"/>
        <v>0.94444444444444442</v>
      </c>
      <c r="Q33" s="18">
        <f>VLOOKUP($G$8, 'Other Lists'!$B$13:$H$15, 7, FALSE)</f>
        <v>184</v>
      </c>
      <c r="R33" s="18">
        <f>VLOOKUP($G$8, 'Other Lists'!$B$13:$F$15, 5, FALSE)</f>
        <v>129</v>
      </c>
      <c r="S33" s="18">
        <f>VLOOKUP($G$8, 'Other Lists'!$B$13:$G$15, 6, FALSE)</f>
        <v>36</v>
      </c>
      <c r="T33" s="18">
        <f t="shared" si="7"/>
        <v>165</v>
      </c>
      <c r="U33" s="18">
        <f>VLOOKUP($G$8, 'Other Lists'!$B$13:$H$15, 7, FALSE) *N33</f>
        <v>28152</v>
      </c>
      <c r="V33" s="18">
        <f t="shared" si="8"/>
        <v>26730</v>
      </c>
      <c r="W33" s="18">
        <f t="shared" si="9"/>
        <v>1422</v>
      </c>
      <c r="X33" s="18">
        <f t="shared" si="10"/>
        <v>1656</v>
      </c>
      <c r="Y33" s="18">
        <f t="shared" si="11"/>
        <v>63990</v>
      </c>
      <c r="Z33">
        <v>7</v>
      </c>
      <c r="AA33">
        <v>6</v>
      </c>
      <c r="AB33">
        <v>0</v>
      </c>
      <c r="AC33">
        <v>4</v>
      </c>
      <c r="AD33">
        <f t="shared" si="13"/>
        <v>0</v>
      </c>
      <c r="AE33">
        <f>VLOOKUP($AE$6, 'Other Lists'!$B$27:$H$32, 7, FALSE) *AB33*8</f>
        <v>0</v>
      </c>
      <c r="AF33">
        <f>VLOOKUP($AF$6, 'Other Lists'!$B$27:$H$32, 7, FALSE) * AC33 * 8</f>
        <v>1123.2</v>
      </c>
      <c r="AG33">
        <f>VLOOKUP($AG$6, 'Other Lists'!$B$27:$H$32, 7, FALSE) * AD33 * 8</f>
        <v>0</v>
      </c>
      <c r="AH33">
        <f t="shared" si="12"/>
        <v>1641.6</v>
      </c>
      <c r="AI33">
        <f t="shared" si="1"/>
        <v>10.133333333333333</v>
      </c>
      <c r="AJ33">
        <v>2</v>
      </c>
      <c r="AK33">
        <v>2</v>
      </c>
      <c r="AL33">
        <f>VLOOKUP($AL$6, 'Other Lists'!$B$27:$H$32, 7, FALSE) * AJ33 * 8</f>
        <v>648</v>
      </c>
      <c r="AM33">
        <f>VLOOKUP($AM$6, 'Other Lists'!$B$27:$H$32, 7, FALSE) * AK33 * 8</f>
        <v>648</v>
      </c>
      <c r="AN33">
        <f t="shared" si="14"/>
        <v>2937.6</v>
      </c>
    </row>
    <row r="34" spans="2:40">
      <c r="B34">
        <v>196</v>
      </c>
      <c r="C34" s="15">
        <v>45330</v>
      </c>
      <c r="D34">
        <f t="shared" si="3"/>
        <v>5</v>
      </c>
      <c r="E34">
        <f t="shared" si="4"/>
        <v>6</v>
      </c>
      <c r="F34">
        <v>2</v>
      </c>
      <c r="G34">
        <v>105</v>
      </c>
      <c r="H34">
        <v>198</v>
      </c>
      <c r="I34">
        <v>179</v>
      </c>
      <c r="J34">
        <v>0</v>
      </c>
      <c r="K34">
        <v>189</v>
      </c>
      <c r="L34">
        <v>19</v>
      </c>
      <c r="M34">
        <v>0</v>
      </c>
      <c r="N34">
        <v>166</v>
      </c>
      <c r="O34">
        <f t="shared" si="5"/>
        <v>19</v>
      </c>
      <c r="P34" s="17">
        <f t="shared" si="6"/>
        <v>0.92737430167597767</v>
      </c>
      <c r="Q34" s="18">
        <f>VLOOKUP($G$8, 'Other Lists'!$B$13:$H$15, 7, FALSE)</f>
        <v>184</v>
      </c>
      <c r="R34" s="18">
        <f>VLOOKUP($G$8, 'Other Lists'!$B$13:$F$15, 5, FALSE)</f>
        <v>129</v>
      </c>
      <c r="S34" s="18">
        <f>VLOOKUP($G$8, 'Other Lists'!$B$13:$G$15, 6, FALSE)</f>
        <v>36</v>
      </c>
      <c r="T34" s="18">
        <f t="shared" si="7"/>
        <v>165</v>
      </c>
      <c r="U34" s="18">
        <f>VLOOKUP($G$8, 'Other Lists'!$B$13:$H$15, 7, FALSE) *N34</f>
        <v>30544</v>
      </c>
      <c r="V34" s="18">
        <f t="shared" si="8"/>
        <v>29535</v>
      </c>
      <c r="W34" s="18">
        <f t="shared" si="9"/>
        <v>1009</v>
      </c>
      <c r="X34" s="18">
        <f t="shared" si="10"/>
        <v>2392</v>
      </c>
      <c r="Y34" s="18">
        <f t="shared" si="11"/>
        <v>19171</v>
      </c>
      <c r="Z34">
        <v>7</v>
      </c>
      <c r="AA34">
        <v>7</v>
      </c>
      <c r="AB34">
        <v>1</v>
      </c>
      <c r="AC34">
        <v>3</v>
      </c>
      <c r="AD34">
        <f t="shared" si="13"/>
        <v>1</v>
      </c>
      <c r="AE34">
        <f>VLOOKUP($AE$6, 'Other Lists'!$B$27:$H$32, 7, FALSE) *AB34*8</f>
        <v>194.4</v>
      </c>
      <c r="AF34">
        <f>VLOOKUP($AF$6, 'Other Lists'!$B$27:$H$32, 7, FALSE) * AC34 * 8</f>
        <v>842.40000000000009</v>
      </c>
      <c r="AG34">
        <f>VLOOKUP($AG$6, 'Other Lists'!$B$27:$H$32, 7, FALSE) * AD34 * 8</f>
        <v>259.2</v>
      </c>
      <c r="AH34">
        <f t="shared" si="12"/>
        <v>1641.6</v>
      </c>
      <c r="AI34">
        <f t="shared" si="1"/>
        <v>9.1709497206703912</v>
      </c>
      <c r="AJ34">
        <v>2</v>
      </c>
      <c r="AK34">
        <v>2</v>
      </c>
      <c r="AL34">
        <f>VLOOKUP($AL$6, 'Other Lists'!$B$27:$H$32, 7, FALSE) * AJ34 * 8</f>
        <v>648</v>
      </c>
      <c r="AM34">
        <f>VLOOKUP($AM$6, 'Other Lists'!$B$27:$H$32, 7, FALSE) * AK34 * 8</f>
        <v>648</v>
      </c>
      <c r="AN34">
        <f t="shared" si="14"/>
        <v>2937.6</v>
      </c>
    </row>
    <row r="35" spans="2:40">
      <c r="B35">
        <v>197</v>
      </c>
      <c r="C35" s="15">
        <v>45331</v>
      </c>
      <c r="D35">
        <f t="shared" si="3"/>
        <v>6</v>
      </c>
      <c r="E35">
        <f t="shared" si="4"/>
        <v>6</v>
      </c>
      <c r="F35">
        <v>2</v>
      </c>
      <c r="G35">
        <v>105</v>
      </c>
      <c r="H35">
        <v>211</v>
      </c>
      <c r="I35">
        <v>183</v>
      </c>
      <c r="J35">
        <v>0</v>
      </c>
      <c r="K35">
        <v>189</v>
      </c>
      <c r="L35">
        <v>28</v>
      </c>
      <c r="M35">
        <v>0</v>
      </c>
      <c r="N35">
        <v>170</v>
      </c>
      <c r="O35">
        <f t="shared" si="5"/>
        <v>28</v>
      </c>
      <c r="P35" s="17">
        <f t="shared" si="6"/>
        <v>0.92896174863387981</v>
      </c>
      <c r="Q35" s="18">
        <f>VLOOKUP($G$8, 'Other Lists'!$B$13:$H$15, 7, FALSE)</f>
        <v>184</v>
      </c>
      <c r="R35" s="18">
        <f>VLOOKUP($G$8, 'Other Lists'!$B$13:$F$15, 5, FALSE)</f>
        <v>129</v>
      </c>
      <c r="S35" s="18">
        <f>VLOOKUP($G$8, 'Other Lists'!$B$13:$G$15, 6, FALSE)</f>
        <v>36</v>
      </c>
      <c r="T35" s="18">
        <f t="shared" si="7"/>
        <v>165</v>
      </c>
      <c r="U35" s="18">
        <f>VLOOKUP($G$8, 'Other Lists'!$B$13:$H$15, 7, FALSE) *N35</f>
        <v>31280</v>
      </c>
      <c r="V35" s="18">
        <f t="shared" si="8"/>
        <v>30195</v>
      </c>
      <c r="W35" s="18">
        <f t="shared" si="9"/>
        <v>1085</v>
      </c>
      <c r="X35" s="18">
        <f t="shared" si="10"/>
        <v>2392</v>
      </c>
      <c r="Y35" s="18">
        <f t="shared" si="11"/>
        <v>30380</v>
      </c>
      <c r="Z35">
        <v>7</v>
      </c>
      <c r="AA35">
        <v>7</v>
      </c>
      <c r="AB35">
        <v>0</v>
      </c>
      <c r="AC35">
        <v>3</v>
      </c>
      <c r="AD35">
        <f t="shared" si="13"/>
        <v>2</v>
      </c>
      <c r="AE35">
        <f>VLOOKUP($AE$6, 'Other Lists'!$B$27:$H$32, 7, FALSE) *AB35*8</f>
        <v>0</v>
      </c>
      <c r="AF35">
        <f>VLOOKUP($AF$6, 'Other Lists'!$B$27:$H$32, 7, FALSE) * AC35 * 8</f>
        <v>842.40000000000009</v>
      </c>
      <c r="AG35">
        <f>VLOOKUP($AG$6, 'Other Lists'!$B$27:$H$32, 7, FALSE) * AD35 * 8</f>
        <v>518.4</v>
      </c>
      <c r="AH35">
        <f t="shared" si="12"/>
        <v>1641.6</v>
      </c>
      <c r="AI35">
        <f t="shared" si="1"/>
        <v>8.9704918032786889</v>
      </c>
      <c r="AJ35">
        <v>2</v>
      </c>
      <c r="AK35">
        <v>2</v>
      </c>
      <c r="AL35">
        <f>VLOOKUP($AL$6, 'Other Lists'!$B$27:$H$32, 7, FALSE) * AJ35 * 8</f>
        <v>648</v>
      </c>
      <c r="AM35">
        <f>VLOOKUP($AM$6, 'Other Lists'!$B$27:$H$32, 7, FALSE) * AK35 * 8</f>
        <v>648</v>
      </c>
      <c r="AN35">
        <f t="shared" si="14"/>
        <v>2937.6</v>
      </c>
    </row>
    <row r="36" spans="2:40">
      <c r="B36">
        <v>198</v>
      </c>
      <c r="C36" s="15">
        <v>45332</v>
      </c>
      <c r="D36">
        <f t="shared" si="3"/>
        <v>7</v>
      </c>
      <c r="E36">
        <f t="shared" si="4"/>
        <v>6</v>
      </c>
      <c r="F36">
        <v>2</v>
      </c>
      <c r="G36">
        <v>105</v>
      </c>
      <c r="H36">
        <v>181</v>
      </c>
      <c r="I36">
        <v>181</v>
      </c>
      <c r="J36">
        <v>0</v>
      </c>
      <c r="K36">
        <v>189</v>
      </c>
      <c r="L36">
        <v>0</v>
      </c>
      <c r="M36">
        <v>0</v>
      </c>
      <c r="N36">
        <v>168</v>
      </c>
      <c r="O36">
        <f t="shared" si="5"/>
        <v>0</v>
      </c>
      <c r="P36" s="17">
        <f t="shared" si="6"/>
        <v>0.92817679558011046</v>
      </c>
      <c r="Q36" s="18">
        <f>VLOOKUP($G$8, 'Other Lists'!$B$13:$H$15, 7, FALSE)</f>
        <v>184</v>
      </c>
      <c r="R36" s="18">
        <f>VLOOKUP($G$8, 'Other Lists'!$B$13:$F$15, 5, FALSE)</f>
        <v>129</v>
      </c>
      <c r="S36" s="18">
        <f>VLOOKUP($G$8, 'Other Lists'!$B$13:$G$15, 6, FALSE)</f>
        <v>36</v>
      </c>
      <c r="T36" s="18">
        <f t="shared" si="7"/>
        <v>165</v>
      </c>
      <c r="U36" s="18">
        <f>VLOOKUP($G$8, 'Other Lists'!$B$13:$H$15, 7, FALSE) *N36</f>
        <v>30912</v>
      </c>
      <c r="V36" s="18">
        <f t="shared" si="8"/>
        <v>29865</v>
      </c>
      <c r="W36" s="18">
        <f t="shared" si="9"/>
        <v>1047</v>
      </c>
      <c r="X36" s="18">
        <f t="shared" si="10"/>
        <v>2392</v>
      </c>
      <c r="Y36" s="18">
        <f t="shared" si="11"/>
        <v>0</v>
      </c>
      <c r="Z36">
        <v>7</v>
      </c>
      <c r="AA36">
        <v>7</v>
      </c>
      <c r="AB36">
        <v>1</v>
      </c>
      <c r="AC36">
        <v>4</v>
      </c>
      <c r="AD36">
        <f t="shared" si="13"/>
        <v>0</v>
      </c>
      <c r="AE36">
        <f>VLOOKUP($AE$6, 'Other Lists'!$B$27:$H$32, 7, FALSE) *AB36*8</f>
        <v>194.4</v>
      </c>
      <c r="AF36">
        <f>VLOOKUP($AF$6, 'Other Lists'!$B$27:$H$32, 7, FALSE) * AC36 * 8</f>
        <v>1123.2</v>
      </c>
      <c r="AG36">
        <f>VLOOKUP($AG$6, 'Other Lists'!$B$27:$H$32, 7, FALSE) * AD36 * 8</f>
        <v>0</v>
      </c>
      <c r="AH36">
        <f t="shared" si="12"/>
        <v>1641.6</v>
      </c>
      <c r="AI36">
        <f t="shared" si="1"/>
        <v>9.0696132596685075</v>
      </c>
      <c r="AJ36">
        <v>2</v>
      </c>
      <c r="AK36">
        <v>2</v>
      </c>
      <c r="AL36">
        <f>VLOOKUP($AL$6, 'Other Lists'!$B$27:$H$32, 7, FALSE) * AJ36 * 8</f>
        <v>648</v>
      </c>
      <c r="AM36">
        <f>VLOOKUP($AM$6, 'Other Lists'!$B$27:$H$32, 7, FALSE) * AK36 * 8</f>
        <v>648</v>
      </c>
      <c r="AN36">
        <f t="shared" si="14"/>
        <v>2937.6</v>
      </c>
    </row>
    <row r="37" spans="2:40">
      <c r="B37">
        <v>201</v>
      </c>
      <c r="C37" s="15">
        <v>45335</v>
      </c>
      <c r="D37">
        <f t="shared" si="3"/>
        <v>3</v>
      </c>
      <c r="E37">
        <f t="shared" si="4"/>
        <v>7</v>
      </c>
      <c r="F37">
        <v>2</v>
      </c>
      <c r="G37">
        <v>105</v>
      </c>
      <c r="H37">
        <v>183</v>
      </c>
      <c r="I37">
        <v>183</v>
      </c>
      <c r="J37">
        <v>0</v>
      </c>
      <c r="K37">
        <v>189</v>
      </c>
      <c r="L37">
        <v>0</v>
      </c>
      <c r="M37">
        <v>0</v>
      </c>
      <c r="N37">
        <v>179</v>
      </c>
      <c r="O37">
        <f t="shared" si="5"/>
        <v>0</v>
      </c>
      <c r="P37" s="17">
        <f t="shared" si="6"/>
        <v>0.97814207650273222</v>
      </c>
      <c r="Q37" s="18">
        <f>VLOOKUP($G$8, 'Other Lists'!$B$13:$H$15, 7, FALSE)</f>
        <v>184</v>
      </c>
      <c r="R37" s="18">
        <f>VLOOKUP($G$8, 'Other Lists'!$B$13:$F$15, 5, FALSE)</f>
        <v>129</v>
      </c>
      <c r="S37" s="18">
        <f>VLOOKUP($G$8, 'Other Lists'!$B$13:$G$15, 6, FALSE)</f>
        <v>36</v>
      </c>
      <c r="T37" s="18">
        <f t="shared" si="7"/>
        <v>165</v>
      </c>
      <c r="U37" s="18">
        <f>VLOOKUP($G$8, 'Other Lists'!$B$13:$H$15, 7, FALSE) *N37</f>
        <v>32936</v>
      </c>
      <c r="V37" s="18">
        <f t="shared" si="8"/>
        <v>30195</v>
      </c>
      <c r="W37" s="18">
        <f t="shared" si="9"/>
        <v>2741</v>
      </c>
      <c r="X37" s="18">
        <f t="shared" si="10"/>
        <v>736</v>
      </c>
      <c r="Y37" s="18">
        <f t="shared" si="11"/>
        <v>0</v>
      </c>
      <c r="Z37">
        <v>7</v>
      </c>
      <c r="AA37">
        <v>7</v>
      </c>
      <c r="AB37">
        <v>0</v>
      </c>
      <c r="AC37">
        <v>4</v>
      </c>
      <c r="AD37">
        <f t="shared" si="13"/>
        <v>2</v>
      </c>
      <c r="AE37">
        <f>VLOOKUP($AE$6, 'Other Lists'!$B$27:$H$32, 7, FALSE) *AB37*8</f>
        <v>0</v>
      </c>
      <c r="AF37">
        <f>VLOOKUP($AF$6, 'Other Lists'!$B$27:$H$32, 7, FALSE) * AC37 * 8</f>
        <v>1123.2</v>
      </c>
      <c r="AG37">
        <f>VLOOKUP($AG$6, 'Other Lists'!$B$27:$H$32, 7, FALSE) * AD37 * 8</f>
        <v>518.4</v>
      </c>
      <c r="AH37">
        <f t="shared" si="12"/>
        <v>1641.6</v>
      </c>
      <c r="AI37">
        <f t="shared" si="1"/>
        <v>8.9704918032786889</v>
      </c>
      <c r="AJ37">
        <v>1</v>
      </c>
      <c r="AK37">
        <v>2</v>
      </c>
      <c r="AL37">
        <f>VLOOKUP($AL$6, 'Other Lists'!$B$27:$H$32, 7, FALSE) * AJ37 * 8</f>
        <v>324</v>
      </c>
      <c r="AM37">
        <f>VLOOKUP($AM$6, 'Other Lists'!$B$27:$H$32, 7, FALSE) * AK37 * 8</f>
        <v>648</v>
      </c>
      <c r="AN37">
        <f t="shared" si="14"/>
        <v>2613.6</v>
      </c>
    </row>
    <row r="38" spans="2:40">
      <c r="B38">
        <v>202</v>
      </c>
      <c r="C38" s="15">
        <v>45336</v>
      </c>
      <c r="D38">
        <f t="shared" si="3"/>
        <v>4</v>
      </c>
      <c r="E38">
        <f t="shared" si="4"/>
        <v>7</v>
      </c>
      <c r="F38">
        <v>2</v>
      </c>
      <c r="G38">
        <v>105</v>
      </c>
      <c r="H38">
        <v>223</v>
      </c>
      <c r="I38">
        <v>194</v>
      </c>
      <c r="J38">
        <v>0</v>
      </c>
      <c r="K38">
        <v>189</v>
      </c>
      <c r="L38">
        <v>29</v>
      </c>
      <c r="M38">
        <v>0</v>
      </c>
      <c r="N38">
        <v>184</v>
      </c>
      <c r="O38">
        <f t="shared" si="5"/>
        <v>29</v>
      </c>
      <c r="P38" s="17">
        <f t="shared" si="6"/>
        <v>0.94845360824742264</v>
      </c>
      <c r="Q38" s="18">
        <f>VLOOKUP($G$8, 'Other Lists'!$B$13:$H$15, 7, FALSE)</f>
        <v>184</v>
      </c>
      <c r="R38" s="18">
        <f>VLOOKUP($G$8, 'Other Lists'!$B$13:$F$15, 5, FALSE)</f>
        <v>129</v>
      </c>
      <c r="S38" s="18">
        <f>VLOOKUP($G$8, 'Other Lists'!$B$13:$G$15, 6, FALSE)</f>
        <v>36</v>
      </c>
      <c r="T38" s="18">
        <f t="shared" si="7"/>
        <v>165</v>
      </c>
      <c r="U38" s="18">
        <f>VLOOKUP($G$8, 'Other Lists'!$B$13:$H$15, 7, FALSE) *N38</f>
        <v>33856</v>
      </c>
      <c r="V38" s="18">
        <f t="shared" si="8"/>
        <v>32010</v>
      </c>
      <c r="W38" s="18">
        <f t="shared" si="9"/>
        <v>1846</v>
      </c>
      <c r="X38" s="18">
        <f t="shared" si="10"/>
        <v>1840</v>
      </c>
      <c r="Y38" s="18">
        <f t="shared" si="11"/>
        <v>53534</v>
      </c>
      <c r="Z38">
        <v>7</v>
      </c>
      <c r="AA38">
        <v>7</v>
      </c>
      <c r="AB38">
        <v>0</v>
      </c>
      <c r="AC38">
        <v>3</v>
      </c>
      <c r="AD38">
        <f t="shared" si="13"/>
        <v>2</v>
      </c>
      <c r="AE38">
        <f>VLOOKUP($AE$6, 'Other Lists'!$B$27:$H$32, 7, FALSE) *AB38*8</f>
        <v>0</v>
      </c>
      <c r="AF38">
        <f>VLOOKUP($AF$6, 'Other Lists'!$B$27:$H$32, 7, FALSE) * AC38 * 8</f>
        <v>842.40000000000009</v>
      </c>
      <c r="AG38">
        <f>VLOOKUP($AG$6, 'Other Lists'!$B$27:$H$32, 7, FALSE) * AD38 * 8</f>
        <v>518.4</v>
      </c>
      <c r="AH38">
        <f t="shared" si="12"/>
        <v>1641.6</v>
      </c>
      <c r="AI38">
        <f t="shared" si="1"/>
        <v>8.4618556701030929</v>
      </c>
      <c r="AJ38">
        <v>2</v>
      </c>
      <c r="AK38">
        <v>2</v>
      </c>
      <c r="AL38">
        <f>VLOOKUP($AL$6, 'Other Lists'!$B$27:$H$32, 7, FALSE) * AJ38 * 8</f>
        <v>648</v>
      </c>
      <c r="AM38">
        <f>VLOOKUP($AM$6, 'Other Lists'!$B$27:$H$32, 7, FALSE) * AK38 * 8</f>
        <v>648</v>
      </c>
      <c r="AN38">
        <f t="shared" si="14"/>
        <v>2937.6</v>
      </c>
    </row>
    <row r="39" spans="2:40">
      <c r="B39">
        <v>203</v>
      </c>
      <c r="C39" s="15">
        <v>45337</v>
      </c>
      <c r="D39">
        <f t="shared" si="3"/>
        <v>5</v>
      </c>
      <c r="E39">
        <f t="shared" si="4"/>
        <v>7</v>
      </c>
      <c r="F39">
        <v>2</v>
      </c>
      <c r="G39">
        <v>105</v>
      </c>
      <c r="H39">
        <v>162</v>
      </c>
      <c r="I39">
        <v>162</v>
      </c>
      <c r="J39">
        <v>0</v>
      </c>
      <c r="K39">
        <v>189</v>
      </c>
      <c r="L39">
        <v>0</v>
      </c>
      <c r="M39">
        <v>0</v>
      </c>
      <c r="N39">
        <v>157</v>
      </c>
      <c r="O39">
        <f t="shared" si="5"/>
        <v>0</v>
      </c>
      <c r="P39" s="17">
        <f t="shared" si="6"/>
        <v>0.96913580246913578</v>
      </c>
      <c r="Q39" s="18">
        <f>VLOOKUP($G$8, 'Other Lists'!$B$13:$H$15, 7, FALSE)</f>
        <v>184</v>
      </c>
      <c r="R39" s="18">
        <f>VLOOKUP($G$8, 'Other Lists'!$B$13:$F$15, 5, FALSE)</f>
        <v>129</v>
      </c>
      <c r="S39" s="18">
        <f>VLOOKUP($G$8, 'Other Lists'!$B$13:$G$15, 6, FALSE)</f>
        <v>36</v>
      </c>
      <c r="T39" s="18">
        <f t="shared" si="7"/>
        <v>165</v>
      </c>
      <c r="U39" s="18">
        <f>VLOOKUP($G$8, 'Other Lists'!$B$13:$H$15, 7, FALSE) *N39</f>
        <v>28888</v>
      </c>
      <c r="V39" s="18">
        <f t="shared" si="8"/>
        <v>26730</v>
      </c>
      <c r="W39" s="18">
        <f t="shared" si="9"/>
        <v>2158</v>
      </c>
      <c r="X39" s="18">
        <f t="shared" si="10"/>
        <v>920</v>
      </c>
      <c r="Y39" s="18">
        <f t="shared" si="11"/>
        <v>0</v>
      </c>
      <c r="Z39">
        <v>7</v>
      </c>
      <c r="AA39">
        <v>7</v>
      </c>
      <c r="AB39">
        <v>0</v>
      </c>
      <c r="AC39">
        <v>3</v>
      </c>
      <c r="AD39">
        <f t="shared" si="13"/>
        <v>2</v>
      </c>
      <c r="AE39">
        <f>VLOOKUP($AE$6, 'Other Lists'!$B$27:$H$32, 7, FALSE) *AB39*8</f>
        <v>0</v>
      </c>
      <c r="AF39">
        <f>VLOOKUP($AF$6, 'Other Lists'!$B$27:$H$32, 7, FALSE) * AC39 * 8</f>
        <v>842.40000000000009</v>
      </c>
      <c r="AG39">
        <f>VLOOKUP($AG$6, 'Other Lists'!$B$27:$H$32, 7, FALSE) * AD39 * 8</f>
        <v>518.4</v>
      </c>
      <c r="AH39">
        <f t="shared" si="12"/>
        <v>1641.6</v>
      </c>
      <c r="AI39">
        <f t="shared" si="1"/>
        <v>10.133333333333333</v>
      </c>
      <c r="AJ39">
        <v>2</v>
      </c>
      <c r="AK39">
        <v>2</v>
      </c>
      <c r="AL39">
        <f>VLOOKUP($AL$6, 'Other Lists'!$B$27:$H$32, 7, FALSE) * AJ39 * 8</f>
        <v>648</v>
      </c>
      <c r="AM39">
        <f>VLOOKUP($AM$6, 'Other Lists'!$B$27:$H$32, 7, FALSE) * AK39 * 8</f>
        <v>648</v>
      </c>
      <c r="AN39">
        <f t="shared" si="14"/>
        <v>2937.6</v>
      </c>
    </row>
    <row r="40" spans="2:40">
      <c r="B40">
        <v>204</v>
      </c>
      <c r="C40" s="15">
        <v>45338</v>
      </c>
      <c r="D40">
        <f t="shared" si="3"/>
        <v>6</v>
      </c>
      <c r="E40">
        <f t="shared" si="4"/>
        <v>7</v>
      </c>
      <c r="F40">
        <v>2</v>
      </c>
      <c r="G40">
        <v>105</v>
      </c>
      <c r="H40">
        <v>175</v>
      </c>
      <c r="I40">
        <v>175</v>
      </c>
      <c r="J40">
        <v>0</v>
      </c>
      <c r="K40">
        <v>189</v>
      </c>
      <c r="L40">
        <v>0</v>
      </c>
      <c r="M40">
        <v>0</v>
      </c>
      <c r="N40">
        <v>168</v>
      </c>
      <c r="O40">
        <f t="shared" si="5"/>
        <v>0</v>
      </c>
      <c r="P40" s="17">
        <f t="shared" si="6"/>
        <v>0.96</v>
      </c>
      <c r="Q40" s="18">
        <f>VLOOKUP($G$8, 'Other Lists'!$B$13:$H$15, 7, FALSE)</f>
        <v>184</v>
      </c>
      <c r="R40" s="18">
        <f>VLOOKUP($G$8, 'Other Lists'!$B$13:$F$15, 5, FALSE)</f>
        <v>129</v>
      </c>
      <c r="S40" s="18">
        <f>VLOOKUP($G$8, 'Other Lists'!$B$13:$G$15, 6, FALSE)</f>
        <v>36</v>
      </c>
      <c r="T40" s="18">
        <f t="shared" si="7"/>
        <v>165</v>
      </c>
      <c r="U40" s="18">
        <f>VLOOKUP($G$8, 'Other Lists'!$B$13:$H$15, 7, FALSE) *N40</f>
        <v>30912</v>
      </c>
      <c r="V40" s="18">
        <f t="shared" si="8"/>
        <v>28875</v>
      </c>
      <c r="W40" s="18">
        <f t="shared" si="9"/>
        <v>2037</v>
      </c>
      <c r="X40" s="18">
        <f t="shared" si="10"/>
        <v>1288</v>
      </c>
      <c r="Y40" s="18">
        <f t="shared" si="11"/>
        <v>0</v>
      </c>
      <c r="Z40">
        <v>7</v>
      </c>
      <c r="AA40">
        <v>7</v>
      </c>
      <c r="AB40">
        <v>0</v>
      </c>
      <c r="AC40">
        <v>3</v>
      </c>
      <c r="AD40">
        <f t="shared" si="13"/>
        <v>2</v>
      </c>
      <c r="AE40">
        <f>VLOOKUP($AE$6, 'Other Lists'!$B$27:$H$32, 7, FALSE) *AB40*8</f>
        <v>0</v>
      </c>
      <c r="AF40">
        <f>VLOOKUP($AF$6, 'Other Lists'!$B$27:$H$32, 7, FALSE) * AC40 * 8</f>
        <v>842.40000000000009</v>
      </c>
      <c r="AG40">
        <f>VLOOKUP($AG$6, 'Other Lists'!$B$27:$H$32, 7, FALSE) * AD40 * 8</f>
        <v>518.4</v>
      </c>
      <c r="AH40">
        <f t="shared" si="12"/>
        <v>1641.6</v>
      </c>
      <c r="AI40">
        <f t="shared" ref="AI40:AI70" si="15">AH40/I40</f>
        <v>9.3805714285714288</v>
      </c>
      <c r="AJ40">
        <v>2</v>
      </c>
      <c r="AK40">
        <v>2</v>
      </c>
      <c r="AL40">
        <f>VLOOKUP($AL$6, 'Other Lists'!$B$27:$H$32, 7, FALSE) * AJ40 * 8</f>
        <v>648</v>
      </c>
      <c r="AM40">
        <f>VLOOKUP($AM$6, 'Other Lists'!$B$27:$H$32, 7, FALSE) * AK40 * 8</f>
        <v>648</v>
      </c>
      <c r="AN40">
        <f t="shared" si="14"/>
        <v>2937.6</v>
      </c>
    </row>
    <row r="41" spans="2:40">
      <c r="B41">
        <v>205</v>
      </c>
      <c r="C41" s="15">
        <v>45339</v>
      </c>
      <c r="D41">
        <f t="shared" si="3"/>
        <v>7</v>
      </c>
      <c r="E41">
        <f t="shared" si="4"/>
        <v>7</v>
      </c>
      <c r="F41">
        <v>2</v>
      </c>
      <c r="G41">
        <v>105</v>
      </c>
      <c r="H41">
        <v>162</v>
      </c>
      <c r="I41">
        <v>162</v>
      </c>
      <c r="J41">
        <v>0</v>
      </c>
      <c r="K41">
        <v>189</v>
      </c>
      <c r="L41">
        <v>0</v>
      </c>
      <c r="M41">
        <v>0</v>
      </c>
      <c r="N41">
        <v>150</v>
      </c>
      <c r="O41">
        <f t="shared" si="5"/>
        <v>0</v>
      </c>
      <c r="P41" s="17">
        <f t="shared" si="6"/>
        <v>0.92592592592592593</v>
      </c>
      <c r="Q41" s="18">
        <f>VLOOKUP($G$8, 'Other Lists'!$B$13:$H$15, 7, FALSE)</f>
        <v>184</v>
      </c>
      <c r="R41" s="18">
        <f>VLOOKUP($G$8, 'Other Lists'!$B$13:$F$15, 5, FALSE)</f>
        <v>129</v>
      </c>
      <c r="S41" s="18">
        <f>VLOOKUP($G$8, 'Other Lists'!$B$13:$G$15, 6, FALSE)</f>
        <v>36</v>
      </c>
      <c r="T41" s="18">
        <f t="shared" si="7"/>
        <v>165</v>
      </c>
      <c r="U41" s="18">
        <f>VLOOKUP($G$8, 'Other Lists'!$B$13:$H$15, 7, FALSE) *N41</f>
        <v>27600</v>
      </c>
      <c r="V41" s="18">
        <f t="shared" si="8"/>
        <v>26730</v>
      </c>
      <c r="W41" s="18">
        <f t="shared" si="9"/>
        <v>870</v>
      </c>
      <c r="X41" s="18">
        <f t="shared" si="10"/>
        <v>2208</v>
      </c>
      <c r="Y41" s="18">
        <f t="shared" si="11"/>
        <v>0</v>
      </c>
      <c r="Z41">
        <v>7</v>
      </c>
      <c r="AA41">
        <v>7</v>
      </c>
      <c r="AB41">
        <v>0</v>
      </c>
      <c r="AC41">
        <v>4</v>
      </c>
      <c r="AD41">
        <f t="shared" si="13"/>
        <v>1</v>
      </c>
      <c r="AE41">
        <f>VLOOKUP($AE$6, 'Other Lists'!$B$27:$H$32, 7, FALSE) *AB41*8</f>
        <v>0</v>
      </c>
      <c r="AF41">
        <f>VLOOKUP($AF$6, 'Other Lists'!$B$27:$H$32, 7, FALSE) * AC41 * 8</f>
        <v>1123.2</v>
      </c>
      <c r="AG41">
        <f>VLOOKUP($AG$6, 'Other Lists'!$B$27:$H$32, 7, FALSE) * AD41 * 8</f>
        <v>259.2</v>
      </c>
      <c r="AH41">
        <f t="shared" si="12"/>
        <v>1641.6</v>
      </c>
      <c r="AI41">
        <f t="shared" si="15"/>
        <v>10.133333333333333</v>
      </c>
      <c r="AJ41">
        <v>2</v>
      </c>
      <c r="AK41">
        <v>2</v>
      </c>
      <c r="AL41">
        <f>VLOOKUP($AL$6, 'Other Lists'!$B$27:$H$32, 7, FALSE) * AJ41 * 8</f>
        <v>648</v>
      </c>
      <c r="AM41">
        <f>VLOOKUP($AM$6, 'Other Lists'!$B$27:$H$32, 7, FALSE) * AK41 * 8</f>
        <v>648</v>
      </c>
      <c r="AN41">
        <f t="shared" si="14"/>
        <v>2937.6</v>
      </c>
    </row>
    <row r="42" spans="2:40">
      <c r="B42">
        <v>208</v>
      </c>
      <c r="C42" s="15">
        <v>45342</v>
      </c>
      <c r="D42">
        <f t="shared" si="3"/>
        <v>3</v>
      </c>
      <c r="E42">
        <f t="shared" si="4"/>
        <v>8</v>
      </c>
      <c r="F42">
        <v>2</v>
      </c>
      <c r="G42">
        <v>105</v>
      </c>
      <c r="H42">
        <v>196</v>
      </c>
      <c r="I42">
        <v>185</v>
      </c>
      <c r="J42">
        <v>0</v>
      </c>
      <c r="K42">
        <v>189</v>
      </c>
      <c r="L42">
        <v>11</v>
      </c>
      <c r="M42">
        <v>0</v>
      </c>
      <c r="N42">
        <v>181</v>
      </c>
      <c r="O42">
        <f t="shared" si="5"/>
        <v>11</v>
      </c>
      <c r="P42" s="17">
        <f t="shared" si="6"/>
        <v>0.97837837837837838</v>
      </c>
      <c r="Q42" s="18">
        <f>VLOOKUP($G$8, 'Other Lists'!$B$13:$H$15, 7, FALSE)</f>
        <v>184</v>
      </c>
      <c r="R42" s="18">
        <f>VLOOKUP($G$8, 'Other Lists'!$B$13:$F$15, 5, FALSE)</f>
        <v>129</v>
      </c>
      <c r="S42" s="18">
        <f>VLOOKUP($G$8, 'Other Lists'!$B$13:$G$15, 6, FALSE)</f>
        <v>36</v>
      </c>
      <c r="T42" s="18">
        <f t="shared" si="7"/>
        <v>165</v>
      </c>
      <c r="U42" s="18">
        <f>VLOOKUP($G$8, 'Other Lists'!$B$13:$H$15, 7, FALSE) *N42</f>
        <v>33304</v>
      </c>
      <c r="V42" s="18">
        <f t="shared" si="8"/>
        <v>30525</v>
      </c>
      <c r="W42" s="18">
        <f t="shared" si="9"/>
        <v>2779</v>
      </c>
      <c r="X42" s="18">
        <f t="shared" si="10"/>
        <v>736</v>
      </c>
      <c r="Y42" s="18">
        <f t="shared" si="11"/>
        <v>30569</v>
      </c>
      <c r="Z42">
        <v>7</v>
      </c>
      <c r="AA42">
        <v>7</v>
      </c>
      <c r="AB42">
        <v>0</v>
      </c>
      <c r="AC42">
        <v>4</v>
      </c>
      <c r="AD42">
        <f t="shared" si="13"/>
        <v>1</v>
      </c>
      <c r="AE42">
        <f>VLOOKUP($AE$6, 'Other Lists'!$B$27:$H$32, 7, FALSE) *AB42*8</f>
        <v>0</v>
      </c>
      <c r="AF42">
        <f>VLOOKUP($AF$6, 'Other Lists'!$B$27:$H$32, 7, FALSE) * AC42 * 8</f>
        <v>1123.2</v>
      </c>
      <c r="AG42">
        <f>VLOOKUP($AG$6, 'Other Lists'!$B$27:$H$32, 7, FALSE) * AD42 * 8</f>
        <v>259.2</v>
      </c>
      <c r="AH42">
        <f t="shared" si="12"/>
        <v>1641.6</v>
      </c>
      <c r="AI42">
        <f t="shared" si="15"/>
        <v>8.8735135135135135</v>
      </c>
      <c r="AJ42">
        <v>2</v>
      </c>
      <c r="AK42">
        <v>2</v>
      </c>
      <c r="AL42">
        <f>VLOOKUP($AL$6, 'Other Lists'!$B$27:$H$32, 7, FALSE) * AJ42 * 8</f>
        <v>648</v>
      </c>
      <c r="AM42">
        <f>VLOOKUP($AM$6, 'Other Lists'!$B$27:$H$32, 7, FALSE) * AK42 * 8</f>
        <v>648</v>
      </c>
      <c r="AN42">
        <f t="shared" si="14"/>
        <v>2937.6</v>
      </c>
    </row>
    <row r="43" spans="2:40">
      <c r="B43">
        <v>209</v>
      </c>
      <c r="C43" s="15">
        <v>45343</v>
      </c>
      <c r="D43">
        <f t="shared" si="3"/>
        <v>4</v>
      </c>
      <c r="E43">
        <f t="shared" si="4"/>
        <v>8</v>
      </c>
      <c r="F43">
        <v>2</v>
      </c>
      <c r="G43">
        <v>105</v>
      </c>
      <c r="H43">
        <v>200</v>
      </c>
      <c r="I43">
        <v>187</v>
      </c>
      <c r="J43">
        <v>0</v>
      </c>
      <c r="K43">
        <v>189</v>
      </c>
      <c r="L43">
        <v>13</v>
      </c>
      <c r="M43">
        <v>0</v>
      </c>
      <c r="N43">
        <v>175</v>
      </c>
      <c r="O43">
        <f t="shared" si="5"/>
        <v>13</v>
      </c>
      <c r="P43" s="17">
        <f t="shared" si="6"/>
        <v>0.93582887700534756</v>
      </c>
      <c r="Q43" s="18">
        <f>VLOOKUP($G$8, 'Other Lists'!$B$13:$H$15, 7, FALSE)</f>
        <v>184</v>
      </c>
      <c r="R43" s="18">
        <f>VLOOKUP($G$8, 'Other Lists'!$B$13:$F$15, 5, FALSE)</f>
        <v>129</v>
      </c>
      <c r="S43" s="18">
        <f>VLOOKUP($G$8, 'Other Lists'!$B$13:$G$15, 6, FALSE)</f>
        <v>36</v>
      </c>
      <c r="T43" s="18">
        <f t="shared" si="7"/>
        <v>165</v>
      </c>
      <c r="U43" s="18">
        <f>VLOOKUP($G$8, 'Other Lists'!$B$13:$H$15, 7, FALSE) *N43</f>
        <v>32200</v>
      </c>
      <c r="V43" s="18">
        <f t="shared" si="8"/>
        <v>30855</v>
      </c>
      <c r="W43" s="18">
        <f t="shared" si="9"/>
        <v>1345</v>
      </c>
      <c r="X43" s="18">
        <f t="shared" si="10"/>
        <v>2208</v>
      </c>
      <c r="Y43" s="18">
        <f t="shared" si="11"/>
        <v>17485</v>
      </c>
      <c r="Z43">
        <v>7</v>
      </c>
      <c r="AA43">
        <v>7</v>
      </c>
      <c r="AB43">
        <v>0</v>
      </c>
      <c r="AC43">
        <v>4</v>
      </c>
      <c r="AD43">
        <f t="shared" si="13"/>
        <v>1</v>
      </c>
      <c r="AE43">
        <f>VLOOKUP($AE$6, 'Other Lists'!$B$27:$H$32, 7, FALSE) *AB43*8</f>
        <v>0</v>
      </c>
      <c r="AF43">
        <f>VLOOKUP($AF$6, 'Other Lists'!$B$27:$H$32, 7, FALSE) * AC43 * 8</f>
        <v>1123.2</v>
      </c>
      <c r="AG43">
        <f>VLOOKUP($AG$6, 'Other Lists'!$B$27:$H$32, 7, FALSE) * AD43 * 8</f>
        <v>259.2</v>
      </c>
      <c r="AH43">
        <f t="shared" si="12"/>
        <v>1641.6</v>
      </c>
      <c r="AI43">
        <f t="shared" si="15"/>
        <v>8.778609625668448</v>
      </c>
      <c r="AJ43">
        <v>2</v>
      </c>
      <c r="AK43">
        <v>2</v>
      </c>
      <c r="AL43">
        <f>VLOOKUP($AL$6, 'Other Lists'!$B$27:$H$32, 7, FALSE) * AJ43 * 8</f>
        <v>648</v>
      </c>
      <c r="AM43">
        <f>VLOOKUP($AM$6, 'Other Lists'!$B$27:$H$32, 7, FALSE) * AK43 * 8</f>
        <v>648</v>
      </c>
      <c r="AN43">
        <f t="shared" si="14"/>
        <v>2937.6</v>
      </c>
    </row>
    <row r="44" spans="2:40">
      <c r="B44">
        <v>210</v>
      </c>
      <c r="C44" s="15">
        <v>45344</v>
      </c>
      <c r="D44">
        <f t="shared" si="3"/>
        <v>5</v>
      </c>
      <c r="E44">
        <f t="shared" si="4"/>
        <v>8</v>
      </c>
      <c r="F44">
        <v>2</v>
      </c>
      <c r="G44">
        <v>105</v>
      </c>
      <c r="H44">
        <v>204</v>
      </c>
      <c r="I44">
        <v>196</v>
      </c>
      <c r="J44">
        <v>0</v>
      </c>
      <c r="K44">
        <v>189</v>
      </c>
      <c r="L44">
        <v>8</v>
      </c>
      <c r="M44">
        <v>0</v>
      </c>
      <c r="N44">
        <v>184</v>
      </c>
      <c r="O44">
        <f t="shared" si="5"/>
        <v>8</v>
      </c>
      <c r="P44" s="17">
        <f t="shared" si="6"/>
        <v>0.93877551020408168</v>
      </c>
      <c r="Q44" s="18">
        <f>VLOOKUP($G$8, 'Other Lists'!$B$13:$H$15, 7, FALSE)</f>
        <v>184</v>
      </c>
      <c r="R44" s="18">
        <f>VLOOKUP($G$8, 'Other Lists'!$B$13:$F$15, 5, FALSE)</f>
        <v>129</v>
      </c>
      <c r="S44" s="18">
        <f>VLOOKUP($G$8, 'Other Lists'!$B$13:$G$15, 6, FALSE)</f>
        <v>36</v>
      </c>
      <c r="T44" s="18">
        <f t="shared" si="7"/>
        <v>165</v>
      </c>
      <c r="U44" s="18">
        <f>VLOOKUP($G$8, 'Other Lists'!$B$13:$H$15, 7, FALSE) *N44</f>
        <v>33856</v>
      </c>
      <c r="V44" s="18">
        <f t="shared" si="8"/>
        <v>32340</v>
      </c>
      <c r="W44" s="18">
        <f t="shared" si="9"/>
        <v>1516</v>
      </c>
      <c r="X44" s="18">
        <f t="shared" si="10"/>
        <v>2208</v>
      </c>
      <c r="Y44" s="18">
        <f t="shared" si="11"/>
        <v>12128</v>
      </c>
      <c r="Z44">
        <v>7</v>
      </c>
      <c r="AA44">
        <v>7</v>
      </c>
      <c r="AB44">
        <v>0</v>
      </c>
      <c r="AC44">
        <v>3</v>
      </c>
      <c r="AD44">
        <f t="shared" si="13"/>
        <v>2</v>
      </c>
      <c r="AE44">
        <f>VLOOKUP($AE$6, 'Other Lists'!$B$27:$H$32, 7, FALSE) *AB44*8</f>
        <v>0</v>
      </c>
      <c r="AF44">
        <f>VLOOKUP($AF$6, 'Other Lists'!$B$27:$H$32, 7, FALSE) * AC44 * 8</f>
        <v>842.40000000000009</v>
      </c>
      <c r="AG44">
        <f>VLOOKUP($AG$6, 'Other Lists'!$B$27:$H$32, 7, FALSE) * AD44 * 8</f>
        <v>518.4</v>
      </c>
      <c r="AH44">
        <f t="shared" si="12"/>
        <v>1641.6</v>
      </c>
      <c r="AI44">
        <f t="shared" si="15"/>
        <v>8.3755102040816318</v>
      </c>
      <c r="AJ44">
        <v>2</v>
      </c>
      <c r="AK44">
        <v>2</v>
      </c>
      <c r="AL44">
        <f>VLOOKUP($AL$6, 'Other Lists'!$B$27:$H$32, 7, FALSE) * AJ44 * 8</f>
        <v>648</v>
      </c>
      <c r="AM44">
        <f>VLOOKUP($AM$6, 'Other Lists'!$B$27:$H$32, 7, FALSE) * AK44 * 8</f>
        <v>648</v>
      </c>
      <c r="AN44">
        <f t="shared" si="14"/>
        <v>2937.6</v>
      </c>
    </row>
    <row r="45" spans="2:40">
      <c r="B45">
        <v>211</v>
      </c>
      <c r="C45" s="15">
        <v>45345</v>
      </c>
      <c r="D45">
        <f t="shared" si="3"/>
        <v>6</v>
      </c>
      <c r="E45">
        <f t="shared" si="4"/>
        <v>8</v>
      </c>
      <c r="F45">
        <v>2</v>
      </c>
      <c r="G45">
        <v>105</v>
      </c>
      <c r="H45">
        <v>170</v>
      </c>
      <c r="I45">
        <v>170</v>
      </c>
      <c r="J45">
        <v>0</v>
      </c>
      <c r="K45">
        <v>189</v>
      </c>
      <c r="L45">
        <v>0</v>
      </c>
      <c r="M45">
        <v>0</v>
      </c>
      <c r="N45">
        <v>158</v>
      </c>
      <c r="O45">
        <f t="shared" si="5"/>
        <v>0</v>
      </c>
      <c r="P45" s="17">
        <f t="shared" si="6"/>
        <v>0.92941176470588238</v>
      </c>
      <c r="Q45" s="18">
        <f>VLOOKUP($G$8, 'Other Lists'!$B$13:$H$15, 7, FALSE)</f>
        <v>184</v>
      </c>
      <c r="R45" s="18">
        <f>VLOOKUP($G$8, 'Other Lists'!$B$13:$F$15, 5, FALSE)</f>
        <v>129</v>
      </c>
      <c r="S45" s="18">
        <f>VLOOKUP($G$8, 'Other Lists'!$B$13:$G$15, 6, FALSE)</f>
        <v>36</v>
      </c>
      <c r="T45" s="18">
        <f t="shared" si="7"/>
        <v>165</v>
      </c>
      <c r="U45" s="18">
        <f>VLOOKUP($G$8, 'Other Lists'!$B$13:$H$15, 7, FALSE) *N45</f>
        <v>29072</v>
      </c>
      <c r="V45" s="18">
        <f t="shared" si="8"/>
        <v>28050</v>
      </c>
      <c r="W45" s="18">
        <f t="shared" si="9"/>
        <v>1022</v>
      </c>
      <c r="X45" s="18">
        <f t="shared" si="10"/>
        <v>2208</v>
      </c>
      <c r="Y45" s="18">
        <f t="shared" si="11"/>
        <v>0</v>
      </c>
      <c r="Z45">
        <v>7</v>
      </c>
      <c r="AA45">
        <v>7</v>
      </c>
      <c r="AB45">
        <v>1</v>
      </c>
      <c r="AC45">
        <v>3</v>
      </c>
      <c r="AD45">
        <f t="shared" si="13"/>
        <v>1</v>
      </c>
      <c r="AE45">
        <f>VLOOKUP($AE$6, 'Other Lists'!$B$27:$H$32, 7, FALSE) *AB45*8</f>
        <v>194.4</v>
      </c>
      <c r="AF45">
        <f>VLOOKUP($AF$6, 'Other Lists'!$B$27:$H$32, 7, FALSE) * AC45 * 8</f>
        <v>842.40000000000009</v>
      </c>
      <c r="AG45">
        <f>VLOOKUP($AG$6, 'Other Lists'!$B$27:$H$32, 7, FALSE) * AD45 * 8</f>
        <v>259.2</v>
      </c>
      <c r="AH45">
        <f t="shared" si="12"/>
        <v>1641.6</v>
      </c>
      <c r="AI45">
        <f t="shared" si="15"/>
        <v>9.6564705882352939</v>
      </c>
      <c r="AJ45">
        <v>2</v>
      </c>
      <c r="AK45">
        <v>2</v>
      </c>
      <c r="AL45">
        <f>VLOOKUP($AL$6, 'Other Lists'!$B$27:$H$32, 7, FALSE) * AJ45 * 8</f>
        <v>648</v>
      </c>
      <c r="AM45">
        <f>VLOOKUP($AM$6, 'Other Lists'!$B$27:$H$32, 7, FALSE) * AK45 * 8</f>
        <v>648</v>
      </c>
      <c r="AN45">
        <f t="shared" si="14"/>
        <v>2937.6</v>
      </c>
    </row>
    <row r="46" spans="2:40">
      <c r="B46">
        <v>212</v>
      </c>
      <c r="C46" s="15">
        <v>45346</v>
      </c>
      <c r="D46">
        <f t="shared" si="3"/>
        <v>7</v>
      </c>
      <c r="E46">
        <f t="shared" si="4"/>
        <v>8</v>
      </c>
      <c r="F46">
        <v>2</v>
      </c>
      <c r="G46">
        <v>105</v>
      </c>
      <c r="H46">
        <v>204</v>
      </c>
      <c r="I46">
        <v>196</v>
      </c>
      <c r="J46">
        <v>0</v>
      </c>
      <c r="K46">
        <v>189</v>
      </c>
      <c r="L46">
        <v>8</v>
      </c>
      <c r="M46">
        <v>0</v>
      </c>
      <c r="N46">
        <v>188</v>
      </c>
      <c r="O46">
        <f t="shared" si="5"/>
        <v>8</v>
      </c>
      <c r="P46" s="17">
        <f t="shared" si="6"/>
        <v>0.95918367346938771</v>
      </c>
      <c r="Q46" s="18">
        <f>VLOOKUP($G$8, 'Other Lists'!$B$13:$H$15, 7, FALSE)</f>
        <v>184</v>
      </c>
      <c r="R46" s="18">
        <f>VLOOKUP($G$8, 'Other Lists'!$B$13:$F$15, 5, FALSE)</f>
        <v>129</v>
      </c>
      <c r="S46" s="18">
        <f>VLOOKUP($G$8, 'Other Lists'!$B$13:$G$15, 6, FALSE)</f>
        <v>36</v>
      </c>
      <c r="T46" s="18">
        <f t="shared" si="7"/>
        <v>165</v>
      </c>
      <c r="U46" s="18">
        <f>VLOOKUP($G$8, 'Other Lists'!$B$13:$H$15, 7, FALSE) *N46</f>
        <v>34592</v>
      </c>
      <c r="V46" s="18">
        <f t="shared" si="8"/>
        <v>32340</v>
      </c>
      <c r="W46" s="18">
        <f t="shared" si="9"/>
        <v>2252</v>
      </c>
      <c r="X46" s="18">
        <f t="shared" si="10"/>
        <v>1472</v>
      </c>
      <c r="Y46" s="18">
        <f t="shared" si="11"/>
        <v>18016</v>
      </c>
      <c r="Z46">
        <v>7</v>
      </c>
      <c r="AA46">
        <v>7</v>
      </c>
      <c r="AB46">
        <v>0</v>
      </c>
      <c r="AC46">
        <v>4</v>
      </c>
      <c r="AD46">
        <f t="shared" si="13"/>
        <v>1</v>
      </c>
      <c r="AE46">
        <f>VLOOKUP($AE$6, 'Other Lists'!$B$27:$H$32, 7, FALSE) *AB46*8</f>
        <v>0</v>
      </c>
      <c r="AF46">
        <f>VLOOKUP($AF$6, 'Other Lists'!$B$27:$H$32, 7, FALSE) * AC46 * 8</f>
        <v>1123.2</v>
      </c>
      <c r="AG46">
        <f>VLOOKUP($AG$6, 'Other Lists'!$B$27:$H$32, 7, FALSE) * AD46 * 8</f>
        <v>259.2</v>
      </c>
      <c r="AH46">
        <f t="shared" si="12"/>
        <v>1641.6</v>
      </c>
      <c r="AI46">
        <f t="shared" si="15"/>
        <v>8.3755102040816318</v>
      </c>
      <c r="AJ46">
        <v>2</v>
      </c>
      <c r="AK46">
        <v>2</v>
      </c>
      <c r="AL46">
        <f>VLOOKUP($AL$6, 'Other Lists'!$B$27:$H$32, 7, FALSE) * AJ46 * 8</f>
        <v>648</v>
      </c>
      <c r="AM46">
        <f>VLOOKUP($AM$6, 'Other Lists'!$B$27:$H$32, 7, FALSE) * AK46 * 8</f>
        <v>648</v>
      </c>
      <c r="AN46">
        <f t="shared" si="14"/>
        <v>2937.6</v>
      </c>
    </row>
    <row r="47" spans="2:40">
      <c r="B47">
        <v>215</v>
      </c>
      <c r="C47" s="15">
        <v>45349</v>
      </c>
      <c r="D47">
        <f t="shared" si="3"/>
        <v>3</v>
      </c>
      <c r="E47">
        <f t="shared" si="4"/>
        <v>9</v>
      </c>
      <c r="F47">
        <v>2</v>
      </c>
      <c r="G47">
        <v>105</v>
      </c>
      <c r="H47">
        <v>173</v>
      </c>
      <c r="I47">
        <v>173</v>
      </c>
      <c r="J47">
        <v>0</v>
      </c>
      <c r="K47">
        <v>189</v>
      </c>
      <c r="L47">
        <v>0</v>
      </c>
      <c r="M47">
        <v>0</v>
      </c>
      <c r="N47">
        <v>160</v>
      </c>
      <c r="O47">
        <f t="shared" si="5"/>
        <v>0</v>
      </c>
      <c r="P47" s="17">
        <f t="shared" si="6"/>
        <v>0.92485549132947975</v>
      </c>
      <c r="Q47" s="18">
        <f>VLOOKUP($G$8, 'Other Lists'!$B$13:$H$15, 7, FALSE)</f>
        <v>184</v>
      </c>
      <c r="R47" s="18">
        <f>VLOOKUP($G$8, 'Other Lists'!$B$13:$F$15, 5, FALSE)</f>
        <v>129</v>
      </c>
      <c r="S47" s="18">
        <f>VLOOKUP($G$8, 'Other Lists'!$B$13:$G$15, 6, FALSE)</f>
        <v>36</v>
      </c>
      <c r="T47" s="18">
        <f t="shared" si="7"/>
        <v>165</v>
      </c>
      <c r="U47" s="18">
        <f>VLOOKUP($G$8, 'Other Lists'!$B$13:$H$15, 7, FALSE) *N47</f>
        <v>29440</v>
      </c>
      <c r="V47" s="18">
        <f t="shared" si="8"/>
        <v>28545</v>
      </c>
      <c r="W47" s="18">
        <f t="shared" si="9"/>
        <v>895</v>
      </c>
      <c r="X47" s="18">
        <f t="shared" si="10"/>
        <v>2392</v>
      </c>
      <c r="Y47" s="18">
        <f t="shared" si="11"/>
        <v>0</v>
      </c>
      <c r="Z47">
        <v>7</v>
      </c>
      <c r="AA47">
        <v>7</v>
      </c>
      <c r="AB47">
        <v>0</v>
      </c>
      <c r="AC47">
        <v>3</v>
      </c>
      <c r="AD47">
        <f t="shared" si="13"/>
        <v>2</v>
      </c>
      <c r="AE47">
        <f>VLOOKUP($AE$6, 'Other Lists'!$B$27:$H$32, 7, FALSE) *AB47*8</f>
        <v>0</v>
      </c>
      <c r="AF47">
        <f>VLOOKUP($AF$6, 'Other Lists'!$B$27:$H$32, 7, FALSE) * AC47 * 8</f>
        <v>842.40000000000009</v>
      </c>
      <c r="AG47">
        <f>VLOOKUP($AG$6, 'Other Lists'!$B$27:$H$32, 7, FALSE) * AD47 * 8</f>
        <v>518.4</v>
      </c>
      <c r="AH47">
        <f t="shared" si="12"/>
        <v>1641.6</v>
      </c>
      <c r="AI47">
        <f t="shared" si="15"/>
        <v>9.4890173410404621</v>
      </c>
      <c r="AJ47">
        <v>2</v>
      </c>
      <c r="AK47">
        <v>2</v>
      </c>
      <c r="AL47">
        <f>VLOOKUP($AL$6, 'Other Lists'!$B$27:$H$32, 7, FALSE) * AJ47 * 8</f>
        <v>648</v>
      </c>
      <c r="AM47">
        <f>VLOOKUP($AM$6, 'Other Lists'!$B$27:$H$32, 7, FALSE) * AK47 * 8</f>
        <v>648</v>
      </c>
      <c r="AN47">
        <f t="shared" si="14"/>
        <v>2937.6</v>
      </c>
    </row>
    <row r="48" spans="2:40">
      <c r="B48">
        <v>216</v>
      </c>
      <c r="C48" s="15">
        <v>45350</v>
      </c>
      <c r="D48">
        <f t="shared" si="3"/>
        <v>4</v>
      </c>
      <c r="E48">
        <f t="shared" si="4"/>
        <v>9</v>
      </c>
      <c r="F48">
        <v>2</v>
      </c>
      <c r="G48">
        <v>105</v>
      </c>
      <c r="H48">
        <v>166</v>
      </c>
      <c r="I48">
        <v>166</v>
      </c>
      <c r="J48">
        <v>0</v>
      </c>
      <c r="K48">
        <v>189</v>
      </c>
      <c r="L48">
        <v>0</v>
      </c>
      <c r="M48">
        <v>0</v>
      </c>
      <c r="N48">
        <v>157</v>
      </c>
      <c r="O48">
        <f t="shared" si="5"/>
        <v>0</v>
      </c>
      <c r="P48" s="17">
        <f t="shared" si="6"/>
        <v>0.94578313253012047</v>
      </c>
      <c r="Q48" s="18">
        <f>VLOOKUP($G$8, 'Other Lists'!$B$13:$H$15, 7, FALSE)</f>
        <v>184</v>
      </c>
      <c r="R48" s="18">
        <f>VLOOKUP($G$8, 'Other Lists'!$B$13:$F$15, 5, FALSE)</f>
        <v>129</v>
      </c>
      <c r="S48" s="18">
        <f>VLOOKUP($G$8, 'Other Lists'!$B$13:$G$15, 6, FALSE)</f>
        <v>36</v>
      </c>
      <c r="T48" s="18">
        <f t="shared" si="7"/>
        <v>165</v>
      </c>
      <c r="U48" s="18">
        <f>VLOOKUP($G$8, 'Other Lists'!$B$13:$H$15, 7, FALSE) *N48</f>
        <v>28888</v>
      </c>
      <c r="V48" s="18">
        <f t="shared" si="8"/>
        <v>27390</v>
      </c>
      <c r="W48" s="18">
        <f t="shared" si="9"/>
        <v>1498</v>
      </c>
      <c r="X48" s="18">
        <f t="shared" si="10"/>
        <v>1656</v>
      </c>
      <c r="Y48" s="18">
        <f t="shared" si="11"/>
        <v>0</v>
      </c>
      <c r="Z48">
        <v>7</v>
      </c>
      <c r="AA48">
        <v>7</v>
      </c>
      <c r="AB48">
        <v>0</v>
      </c>
      <c r="AC48">
        <v>3</v>
      </c>
      <c r="AD48">
        <f t="shared" si="13"/>
        <v>2</v>
      </c>
      <c r="AE48">
        <f>VLOOKUP($AE$6, 'Other Lists'!$B$27:$H$32, 7, FALSE) *AB48*8</f>
        <v>0</v>
      </c>
      <c r="AF48">
        <f>VLOOKUP($AF$6, 'Other Lists'!$B$27:$H$32, 7, FALSE) * AC48 * 8</f>
        <v>842.40000000000009</v>
      </c>
      <c r="AG48">
        <f>VLOOKUP($AG$6, 'Other Lists'!$B$27:$H$32, 7, FALSE) * AD48 * 8</f>
        <v>518.4</v>
      </c>
      <c r="AH48">
        <f t="shared" si="12"/>
        <v>1641.6</v>
      </c>
      <c r="AI48">
        <f t="shared" si="15"/>
        <v>9.8891566265060238</v>
      </c>
      <c r="AJ48">
        <v>2</v>
      </c>
      <c r="AK48">
        <v>2</v>
      </c>
      <c r="AL48">
        <f>VLOOKUP($AL$6, 'Other Lists'!$B$27:$H$32, 7, FALSE) * AJ48 * 8</f>
        <v>648</v>
      </c>
      <c r="AM48">
        <f>VLOOKUP($AM$6, 'Other Lists'!$B$27:$H$32, 7, FALSE) * AK48 * 8</f>
        <v>648</v>
      </c>
      <c r="AN48">
        <f t="shared" si="14"/>
        <v>2937.6</v>
      </c>
    </row>
    <row r="49" spans="2:40">
      <c r="B49">
        <v>217</v>
      </c>
      <c r="C49" s="15">
        <v>45351</v>
      </c>
      <c r="D49">
        <f t="shared" si="3"/>
        <v>5</v>
      </c>
      <c r="E49">
        <f t="shared" si="4"/>
        <v>9</v>
      </c>
      <c r="F49">
        <v>2</v>
      </c>
      <c r="G49">
        <v>105</v>
      </c>
      <c r="H49">
        <v>226</v>
      </c>
      <c r="I49">
        <v>175</v>
      </c>
      <c r="J49">
        <v>0</v>
      </c>
      <c r="K49">
        <v>189</v>
      </c>
      <c r="L49">
        <v>51</v>
      </c>
      <c r="M49">
        <v>0</v>
      </c>
      <c r="N49">
        <v>171</v>
      </c>
      <c r="O49">
        <f t="shared" si="5"/>
        <v>51</v>
      </c>
      <c r="P49" s="17">
        <f t="shared" si="6"/>
        <v>0.97714285714285709</v>
      </c>
      <c r="Q49" s="18">
        <f>VLOOKUP($G$8, 'Other Lists'!$B$13:$H$15, 7, FALSE)</f>
        <v>184</v>
      </c>
      <c r="R49" s="18">
        <f>VLOOKUP($G$8, 'Other Lists'!$B$13:$F$15, 5, FALSE)</f>
        <v>129</v>
      </c>
      <c r="S49" s="18">
        <f>VLOOKUP($G$8, 'Other Lists'!$B$13:$G$15, 6, FALSE)</f>
        <v>36</v>
      </c>
      <c r="T49" s="18">
        <f t="shared" si="7"/>
        <v>165</v>
      </c>
      <c r="U49" s="18">
        <f>VLOOKUP($G$8, 'Other Lists'!$B$13:$H$15, 7, FALSE) *N49</f>
        <v>31464</v>
      </c>
      <c r="V49" s="18">
        <f t="shared" si="8"/>
        <v>28875</v>
      </c>
      <c r="W49" s="18">
        <f t="shared" si="9"/>
        <v>2589</v>
      </c>
      <c r="X49" s="18">
        <f t="shared" si="10"/>
        <v>736</v>
      </c>
      <c r="Y49" s="18">
        <f t="shared" si="11"/>
        <v>132039</v>
      </c>
      <c r="Z49">
        <v>7</v>
      </c>
      <c r="AA49">
        <v>7</v>
      </c>
      <c r="AB49">
        <v>1</v>
      </c>
      <c r="AC49">
        <v>3</v>
      </c>
      <c r="AD49">
        <f t="shared" si="13"/>
        <v>1</v>
      </c>
      <c r="AE49">
        <f>VLOOKUP($AE$6, 'Other Lists'!$B$27:$H$32, 7, FALSE) *AB49*8</f>
        <v>194.4</v>
      </c>
      <c r="AF49">
        <f>VLOOKUP($AF$6, 'Other Lists'!$B$27:$H$32, 7, FALSE) * AC49 * 8</f>
        <v>842.40000000000009</v>
      </c>
      <c r="AG49">
        <f>VLOOKUP($AG$6, 'Other Lists'!$B$27:$H$32, 7, FALSE) * AD49 * 8</f>
        <v>259.2</v>
      </c>
      <c r="AH49">
        <f t="shared" si="12"/>
        <v>1641.6</v>
      </c>
      <c r="AI49">
        <f t="shared" si="15"/>
        <v>9.3805714285714288</v>
      </c>
      <c r="AJ49">
        <v>2</v>
      </c>
      <c r="AK49">
        <v>2</v>
      </c>
      <c r="AL49">
        <f>VLOOKUP($AL$6, 'Other Lists'!$B$27:$H$32, 7, FALSE) * AJ49 * 8</f>
        <v>648</v>
      </c>
      <c r="AM49">
        <f>VLOOKUP($AM$6, 'Other Lists'!$B$27:$H$32, 7, FALSE) * AK49 * 8</f>
        <v>648</v>
      </c>
      <c r="AN49">
        <f t="shared" si="14"/>
        <v>2937.6</v>
      </c>
    </row>
    <row r="50" spans="2:40">
      <c r="B50">
        <v>218</v>
      </c>
      <c r="C50" s="15">
        <v>45323</v>
      </c>
      <c r="D50">
        <f t="shared" si="3"/>
        <v>5</v>
      </c>
      <c r="E50">
        <f t="shared" si="4"/>
        <v>5</v>
      </c>
      <c r="F50">
        <v>3</v>
      </c>
      <c r="G50">
        <v>105</v>
      </c>
      <c r="H50">
        <v>165</v>
      </c>
      <c r="I50">
        <v>155</v>
      </c>
      <c r="J50">
        <v>0</v>
      </c>
      <c r="K50">
        <v>162</v>
      </c>
      <c r="L50">
        <v>0</v>
      </c>
      <c r="M50">
        <v>0</v>
      </c>
      <c r="N50">
        <v>148</v>
      </c>
      <c r="O50">
        <f t="shared" si="5"/>
        <v>10</v>
      </c>
      <c r="P50" s="17">
        <f t="shared" si="6"/>
        <v>0.95483870967741935</v>
      </c>
      <c r="Q50" s="18">
        <f>VLOOKUP($G$8, 'Other Lists'!$B$13:$H$15, 7, FALSE)</f>
        <v>184</v>
      </c>
      <c r="R50" s="18">
        <f>VLOOKUP($G$8, 'Other Lists'!$B$13:$F$15, 5, FALSE)</f>
        <v>129</v>
      </c>
      <c r="S50" s="18">
        <f>VLOOKUP($G$8, 'Other Lists'!$B$13:$G$15, 6, FALSE)</f>
        <v>36</v>
      </c>
      <c r="T50" s="18">
        <f t="shared" si="7"/>
        <v>165</v>
      </c>
      <c r="U50" s="18">
        <f>VLOOKUP($G$8, 'Other Lists'!$B$13:$H$15, 7, FALSE) *N50</f>
        <v>27232</v>
      </c>
      <c r="V50" s="18">
        <f t="shared" si="8"/>
        <v>25575</v>
      </c>
      <c r="W50" s="18">
        <f t="shared" si="9"/>
        <v>1657</v>
      </c>
      <c r="X50" s="18">
        <f t="shared" si="10"/>
        <v>1288</v>
      </c>
      <c r="Y50" s="18">
        <f t="shared" si="11"/>
        <v>0</v>
      </c>
      <c r="Z50">
        <v>6</v>
      </c>
      <c r="AA50">
        <v>6</v>
      </c>
      <c r="AB50">
        <v>0</v>
      </c>
      <c r="AC50">
        <v>4</v>
      </c>
      <c r="AD50">
        <f t="shared" si="13"/>
        <v>0</v>
      </c>
      <c r="AE50">
        <f>VLOOKUP($AE$6, 'Other Lists'!$B$27:$H$32, 7, FALSE) *AB50*8</f>
        <v>0</v>
      </c>
      <c r="AF50">
        <f>VLOOKUP($AF$6, 'Other Lists'!$B$27:$H$32, 7, FALSE) * AC50 * 8</f>
        <v>1123.2</v>
      </c>
      <c r="AG50">
        <f>VLOOKUP($AG$6, 'Other Lists'!$B$27:$H$32, 7, FALSE) * AD50 * 8</f>
        <v>0</v>
      </c>
      <c r="AH50">
        <f t="shared" ref="AH50:AH70" si="16">SUM($AE$8:$AG$8)</f>
        <v>1641.6</v>
      </c>
      <c r="AI50">
        <f t="shared" si="15"/>
        <v>10.590967741935483</v>
      </c>
      <c r="AJ50">
        <v>2</v>
      </c>
      <c r="AK50">
        <v>1</v>
      </c>
      <c r="AL50">
        <f>VLOOKUP($AL$6, 'Other Lists'!$B$27:$H$32, 7, FALSE) * AJ50 * 8</f>
        <v>648</v>
      </c>
      <c r="AM50">
        <f>VLOOKUP($AM$6, 'Other Lists'!$B$27:$H$32, 7, FALSE) * AK50 * 8</f>
        <v>324</v>
      </c>
      <c r="AN50">
        <f t="shared" si="14"/>
        <v>2613.6</v>
      </c>
    </row>
    <row r="51" spans="2:40">
      <c r="B51">
        <v>219</v>
      </c>
      <c r="C51" s="15">
        <v>45324</v>
      </c>
      <c r="D51">
        <f t="shared" si="3"/>
        <v>6</v>
      </c>
      <c r="E51">
        <f t="shared" si="4"/>
        <v>5</v>
      </c>
      <c r="F51">
        <v>3</v>
      </c>
      <c r="G51">
        <v>105</v>
      </c>
      <c r="H51">
        <v>163</v>
      </c>
      <c r="I51">
        <v>163</v>
      </c>
      <c r="J51">
        <v>15</v>
      </c>
      <c r="K51">
        <v>162</v>
      </c>
      <c r="L51">
        <v>10</v>
      </c>
      <c r="M51">
        <v>25</v>
      </c>
      <c r="N51">
        <v>174</v>
      </c>
      <c r="O51">
        <f t="shared" si="5"/>
        <v>0</v>
      </c>
      <c r="P51" s="17">
        <f t="shared" si="6"/>
        <v>1.0674846625766872</v>
      </c>
      <c r="Q51" s="18">
        <f>VLOOKUP($G$8, 'Other Lists'!$B$13:$H$15, 7, FALSE)</f>
        <v>184</v>
      </c>
      <c r="R51" s="18">
        <f>VLOOKUP($G$8, 'Other Lists'!$B$13:$F$15, 5, FALSE)</f>
        <v>129</v>
      </c>
      <c r="S51" s="18">
        <f>VLOOKUP($G$8, 'Other Lists'!$B$13:$G$15, 6, FALSE)</f>
        <v>36</v>
      </c>
      <c r="T51" s="18">
        <f t="shared" si="7"/>
        <v>165</v>
      </c>
      <c r="U51" s="18">
        <f>VLOOKUP($G$8, 'Other Lists'!$B$13:$H$15, 7, FALSE) *N51</f>
        <v>32016</v>
      </c>
      <c r="V51" s="18">
        <f t="shared" si="8"/>
        <v>26895</v>
      </c>
      <c r="W51" s="18">
        <f t="shared" si="9"/>
        <v>5121</v>
      </c>
      <c r="X51" s="18">
        <f t="shared" si="10"/>
        <v>-2024</v>
      </c>
      <c r="Y51" s="18">
        <f t="shared" si="11"/>
        <v>51210</v>
      </c>
      <c r="Z51">
        <v>6</v>
      </c>
      <c r="AA51">
        <v>6</v>
      </c>
      <c r="AB51">
        <v>0</v>
      </c>
      <c r="AC51">
        <v>4</v>
      </c>
      <c r="AD51">
        <f t="shared" si="13"/>
        <v>0</v>
      </c>
      <c r="AE51">
        <f>VLOOKUP($AE$6, 'Other Lists'!$B$27:$H$32, 7, FALSE) *AB51*8</f>
        <v>0</v>
      </c>
      <c r="AF51">
        <f>VLOOKUP($AF$6, 'Other Lists'!$B$27:$H$32, 7, FALSE) * AC51 * 8</f>
        <v>1123.2</v>
      </c>
      <c r="AG51">
        <f>VLOOKUP($AG$6, 'Other Lists'!$B$27:$H$32, 7, FALSE) * AD51 * 8</f>
        <v>0</v>
      </c>
      <c r="AH51">
        <f t="shared" si="16"/>
        <v>1641.6</v>
      </c>
      <c r="AI51">
        <f t="shared" si="15"/>
        <v>10.071165644171778</v>
      </c>
      <c r="AJ51">
        <v>2</v>
      </c>
      <c r="AK51">
        <v>1</v>
      </c>
      <c r="AL51">
        <f>VLOOKUP($AL$6, 'Other Lists'!$B$27:$H$32, 7, FALSE) * AJ51 * 8</f>
        <v>648</v>
      </c>
      <c r="AM51">
        <f>VLOOKUP($AM$6, 'Other Lists'!$B$27:$H$32, 7, FALSE) * AK51 * 8</f>
        <v>324</v>
      </c>
      <c r="AN51">
        <f t="shared" si="14"/>
        <v>2613.6</v>
      </c>
    </row>
    <row r="52" spans="2:40">
      <c r="B52">
        <v>220</v>
      </c>
      <c r="C52" s="15">
        <v>45325</v>
      </c>
      <c r="D52">
        <f t="shared" si="3"/>
        <v>7</v>
      </c>
      <c r="E52">
        <f t="shared" si="4"/>
        <v>5</v>
      </c>
      <c r="F52">
        <v>3</v>
      </c>
      <c r="G52">
        <v>105</v>
      </c>
      <c r="H52">
        <v>194</v>
      </c>
      <c r="I52">
        <v>157</v>
      </c>
      <c r="J52">
        <v>21</v>
      </c>
      <c r="K52">
        <v>162</v>
      </c>
      <c r="L52">
        <v>20</v>
      </c>
      <c r="M52">
        <v>41</v>
      </c>
      <c r="N52">
        <v>174</v>
      </c>
      <c r="O52">
        <f t="shared" si="5"/>
        <v>37</v>
      </c>
      <c r="P52" s="17">
        <f t="shared" si="6"/>
        <v>1.10828025477707</v>
      </c>
      <c r="Q52" s="18">
        <f>VLOOKUP($G$8, 'Other Lists'!$B$13:$H$15, 7, FALSE)</f>
        <v>184</v>
      </c>
      <c r="R52" s="18">
        <f>VLOOKUP($G$8, 'Other Lists'!$B$13:$F$15, 5, FALSE)</f>
        <v>129</v>
      </c>
      <c r="S52" s="18">
        <f>VLOOKUP($G$8, 'Other Lists'!$B$13:$G$15, 6, FALSE)</f>
        <v>36</v>
      </c>
      <c r="T52" s="18">
        <f t="shared" si="7"/>
        <v>165</v>
      </c>
      <c r="U52" s="18">
        <f>VLOOKUP($G$8, 'Other Lists'!$B$13:$H$15, 7, FALSE) *N52</f>
        <v>32016</v>
      </c>
      <c r="V52" s="18">
        <f t="shared" si="8"/>
        <v>25905</v>
      </c>
      <c r="W52" s="18">
        <f t="shared" si="9"/>
        <v>6111</v>
      </c>
      <c r="X52" s="18">
        <f t="shared" si="10"/>
        <v>-3128</v>
      </c>
      <c r="Y52" s="18">
        <f t="shared" si="11"/>
        <v>122220</v>
      </c>
      <c r="Z52">
        <v>6</v>
      </c>
      <c r="AA52">
        <v>6</v>
      </c>
      <c r="AB52">
        <v>0</v>
      </c>
      <c r="AC52">
        <v>4</v>
      </c>
      <c r="AD52">
        <f t="shared" si="13"/>
        <v>0</v>
      </c>
      <c r="AE52">
        <f>VLOOKUP($AE$6, 'Other Lists'!$B$27:$H$32, 7, FALSE) *AB52*8</f>
        <v>0</v>
      </c>
      <c r="AF52">
        <f>VLOOKUP($AF$6, 'Other Lists'!$B$27:$H$32, 7, FALSE) * AC52 * 8</f>
        <v>1123.2</v>
      </c>
      <c r="AG52">
        <f>VLOOKUP($AG$6, 'Other Lists'!$B$27:$H$32, 7, FALSE) * AD52 * 8</f>
        <v>0</v>
      </c>
      <c r="AH52">
        <f t="shared" si="16"/>
        <v>1641.6</v>
      </c>
      <c r="AI52">
        <f t="shared" si="15"/>
        <v>10.456050955414012</v>
      </c>
      <c r="AJ52">
        <v>2</v>
      </c>
      <c r="AK52">
        <v>1</v>
      </c>
      <c r="AL52">
        <f>VLOOKUP($AL$6, 'Other Lists'!$B$27:$H$32, 7, FALSE) * AJ52 * 8</f>
        <v>648</v>
      </c>
      <c r="AM52">
        <f>VLOOKUP($AM$6, 'Other Lists'!$B$27:$H$32, 7, FALSE) * AK52 * 8</f>
        <v>324</v>
      </c>
      <c r="AN52">
        <f t="shared" si="14"/>
        <v>2613.6</v>
      </c>
    </row>
    <row r="53" spans="2:40">
      <c r="B53">
        <v>223</v>
      </c>
      <c r="C53" s="15">
        <v>45328</v>
      </c>
      <c r="D53">
        <f t="shared" si="3"/>
        <v>3</v>
      </c>
      <c r="E53">
        <f t="shared" si="4"/>
        <v>6</v>
      </c>
      <c r="F53">
        <v>3</v>
      </c>
      <c r="G53">
        <v>105</v>
      </c>
      <c r="H53">
        <v>152</v>
      </c>
      <c r="I53">
        <v>152</v>
      </c>
      <c r="J53">
        <v>0</v>
      </c>
      <c r="K53">
        <v>162</v>
      </c>
      <c r="L53">
        <v>0</v>
      </c>
      <c r="M53">
        <v>0</v>
      </c>
      <c r="N53">
        <v>148</v>
      </c>
      <c r="O53">
        <f t="shared" si="5"/>
        <v>0</v>
      </c>
      <c r="P53" s="17">
        <f t="shared" si="6"/>
        <v>0.97368421052631582</v>
      </c>
      <c r="Q53" s="18">
        <f>VLOOKUP($G$8, 'Other Lists'!$B$13:$H$15, 7, FALSE)</f>
        <v>184</v>
      </c>
      <c r="R53" s="18">
        <f>VLOOKUP($G$8, 'Other Lists'!$B$13:$F$15, 5, FALSE)</f>
        <v>129</v>
      </c>
      <c r="S53" s="18">
        <f>VLOOKUP($G$8, 'Other Lists'!$B$13:$G$15, 6, FALSE)</f>
        <v>36</v>
      </c>
      <c r="T53" s="18">
        <f t="shared" si="7"/>
        <v>165</v>
      </c>
      <c r="U53" s="18">
        <f>VLOOKUP($G$8, 'Other Lists'!$B$13:$H$15, 7, FALSE) *N53</f>
        <v>27232</v>
      </c>
      <c r="V53" s="18">
        <f t="shared" si="8"/>
        <v>25080</v>
      </c>
      <c r="W53" s="18">
        <f t="shared" si="9"/>
        <v>2152</v>
      </c>
      <c r="X53" s="18">
        <f t="shared" si="10"/>
        <v>736</v>
      </c>
      <c r="Y53" s="18">
        <f t="shared" si="11"/>
        <v>0</v>
      </c>
      <c r="Z53">
        <v>6</v>
      </c>
      <c r="AA53">
        <v>6</v>
      </c>
      <c r="AB53">
        <v>0</v>
      </c>
      <c r="AC53">
        <v>3</v>
      </c>
      <c r="AD53">
        <f t="shared" si="13"/>
        <v>1</v>
      </c>
      <c r="AE53">
        <f>VLOOKUP($AE$6, 'Other Lists'!$B$27:$H$32, 7, FALSE) *AB53*8</f>
        <v>0</v>
      </c>
      <c r="AF53">
        <f>VLOOKUP($AF$6, 'Other Lists'!$B$27:$H$32, 7, FALSE) * AC53 * 8</f>
        <v>842.40000000000009</v>
      </c>
      <c r="AG53">
        <f>VLOOKUP($AG$6, 'Other Lists'!$B$27:$H$32, 7, FALSE) * AD53 * 8</f>
        <v>259.2</v>
      </c>
      <c r="AH53">
        <f t="shared" si="16"/>
        <v>1641.6</v>
      </c>
      <c r="AI53">
        <f t="shared" si="15"/>
        <v>10.799999999999999</v>
      </c>
      <c r="AJ53">
        <v>2</v>
      </c>
      <c r="AK53">
        <v>1</v>
      </c>
      <c r="AL53">
        <f>VLOOKUP($AL$6, 'Other Lists'!$B$27:$H$32, 7, FALSE) * AJ53 * 8</f>
        <v>648</v>
      </c>
      <c r="AM53">
        <f>VLOOKUP($AM$6, 'Other Lists'!$B$27:$H$32, 7, FALSE) * AK53 * 8</f>
        <v>324</v>
      </c>
      <c r="AN53">
        <f t="shared" si="14"/>
        <v>2613.6</v>
      </c>
    </row>
    <row r="54" spans="2:40">
      <c r="B54">
        <v>224</v>
      </c>
      <c r="C54" s="15">
        <v>45329</v>
      </c>
      <c r="D54">
        <f t="shared" si="3"/>
        <v>4</v>
      </c>
      <c r="E54">
        <f t="shared" si="4"/>
        <v>6</v>
      </c>
      <c r="F54">
        <v>3</v>
      </c>
      <c r="G54">
        <v>105</v>
      </c>
      <c r="H54">
        <v>173</v>
      </c>
      <c r="I54">
        <v>160</v>
      </c>
      <c r="J54">
        <v>18</v>
      </c>
      <c r="K54">
        <v>162</v>
      </c>
      <c r="L54">
        <v>53</v>
      </c>
      <c r="M54">
        <v>71</v>
      </c>
      <c r="N54">
        <v>174</v>
      </c>
      <c r="O54">
        <f t="shared" si="5"/>
        <v>13</v>
      </c>
      <c r="P54" s="17">
        <f t="shared" si="6"/>
        <v>1.0874999999999999</v>
      </c>
      <c r="Q54" s="18">
        <f>VLOOKUP($G$8, 'Other Lists'!$B$13:$H$15, 7, FALSE)</f>
        <v>184</v>
      </c>
      <c r="R54" s="18">
        <f>VLOOKUP($G$8, 'Other Lists'!$B$13:$F$15, 5, FALSE)</f>
        <v>129</v>
      </c>
      <c r="S54" s="18">
        <f>VLOOKUP($G$8, 'Other Lists'!$B$13:$G$15, 6, FALSE)</f>
        <v>36</v>
      </c>
      <c r="T54" s="18">
        <f t="shared" si="7"/>
        <v>165</v>
      </c>
      <c r="U54" s="18">
        <f>VLOOKUP($G$8, 'Other Lists'!$B$13:$H$15, 7, FALSE) *N54</f>
        <v>32016</v>
      </c>
      <c r="V54" s="18">
        <f t="shared" si="8"/>
        <v>26400</v>
      </c>
      <c r="W54" s="18">
        <f t="shared" si="9"/>
        <v>5616</v>
      </c>
      <c r="X54" s="18">
        <f t="shared" si="10"/>
        <v>-2576</v>
      </c>
      <c r="Y54" s="18">
        <f t="shared" si="11"/>
        <v>297648</v>
      </c>
      <c r="Z54">
        <v>6</v>
      </c>
      <c r="AA54">
        <v>6</v>
      </c>
      <c r="AB54">
        <v>0</v>
      </c>
      <c r="AC54">
        <v>4</v>
      </c>
      <c r="AD54">
        <f t="shared" ref="AD54:AD70" si="17">AA54-AB54-AC54-AJ54</f>
        <v>0</v>
      </c>
      <c r="AE54">
        <f>VLOOKUP($AE$6, 'Other Lists'!$B$27:$H$32, 7, FALSE) *AB54*8</f>
        <v>0</v>
      </c>
      <c r="AF54">
        <f>VLOOKUP($AF$6, 'Other Lists'!$B$27:$H$32, 7, FALSE) * AC54 * 8</f>
        <v>1123.2</v>
      </c>
      <c r="AG54">
        <f>VLOOKUP($AG$6, 'Other Lists'!$B$27:$H$32, 7, FALSE) * AD54 * 8</f>
        <v>0</v>
      </c>
      <c r="AH54">
        <f t="shared" si="16"/>
        <v>1641.6</v>
      </c>
      <c r="AI54">
        <f t="shared" si="15"/>
        <v>10.26</v>
      </c>
      <c r="AJ54">
        <v>2</v>
      </c>
      <c r="AK54">
        <v>1</v>
      </c>
      <c r="AL54">
        <f>VLOOKUP($AL$6, 'Other Lists'!$B$27:$H$32, 7, FALSE) * AJ54 * 8</f>
        <v>648</v>
      </c>
      <c r="AM54">
        <f>VLOOKUP($AM$6, 'Other Lists'!$B$27:$H$32, 7, FALSE) * AK54 * 8</f>
        <v>324</v>
      </c>
      <c r="AN54">
        <f t="shared" ref="AN54:AN70" si="18">SUM(AH54,AL54,AM54)</f>
        <v>2613.6</v>
      </c>
    </row>
    <row r="55" spans="2:40">
      <c r="B55">
        <v>225</v>
      </c>
      <c r="C55" s="15">
        <v>45330</v>
      </c>
      <c r="D55">
        <f t="shared" si="3"/>
        <v>5</v>
      </c>
      <c r="E55">
        <f t="shared" ref="E55:E70" si="19">_xlfn.ISOWEEKNUM(C55)</f>
        <v>6</v>
      </c>
      <c r="F55">
        <v>3</v>
      </c>
      <c r="G55">
        <v>105</v>
      </c>
      <c r="H55">
        <v>183</v>
      </c>
      <c r="I55">
        <v>158</v>
      </c>
      <c r="J55">
        <v>20</v>
      </c>
      <c r="K55">
        <v>162</v>
      </c>
      <c r="L55">
        <v>16</v>
      </c>
      <c r="M55">
        <v>36</v>
      </c>
      <c r="N55">
        <v>172</v>
      </c>
      <c r="O55">
        <f t="shared" ref="O55:O70" si="20">H55-I55</f>
        <v>25</v>
      </c>
      <c r="P55" s="17">
        <f t="shared" ref="P55:P70" si="21">N55/I55</f>
        <v>1.0886075949367089</v>
      </c>
      <c r="Q55" s="18">
        <f>VLOOKUP($G$8, 'Other Lists'!$B$13:$H$15, 7, FALSE)</f>
        <v>184</v>
      </c>
      <c r="R55" s="18">
        <f>VLOOKUP($G$8, 'Other Lists'!$B$13:$F$15, 5, FALSE)</f>
        <v>129</v>
      </c>
      <c r="S55" s="18">
        <f>VLOOKUP($G$8, 'Other Lists'!$B$13:$G$15, 6, FALSE)</f>
        <v>36</v>
      </c>
      <c r="T55" s="18">
        <f t="shared" ref="T55:T70" si="22">R55+S55</f>
        <v>165</v>
      </c>
      <c r="U55" s="18">
        <f>VLOOKUP($G$8, 'Other Lists'!$B$13:$H$15, 7, FALSE) *N55</f>
        <v>31648</v>
      </c>
      <c r="V55" s="18">
        <f t="shared" ref="V55:V70" si="23">T55*I55</f>
        <v>26070</v>
      </c>
      <c r="W55" s="18">
        <f t="shared" ref="W55:W70" si="24">U55-V55</f>
        <v>5578</v>
      </c>
      <c r="X55" s="18">
        <f t="shared" ref="X55:X70" si="25">(I55-N55)*Q55</f>
        <v>-2576</v>
      </c>
      <c r="Y55" s="18">
        <f t="shared" ref="Y55:Y70" si="26">L55*W55</f>
        <v>89248</v>
      </c>
      <c r="Z55">
        <v>6</v>
      </c>
      <c r="AA55">
        <v>6</v>
      </c>
      <c r="AB55">
        <v>0</v>
      </c>
      <c r="AC55">
        <v>4</v>
      </c>
      <c r="AD55">
        <f t="shared" si="17"/>
        <v>0</v>
      </c>
      <c r="AE55">
        <f>VLOOKUP($AE$6, 'Other Lists'!$B$27:$H$32, 7, FALSE) *AB55*8</f>
        <v>0</v>
      </c>
      <c r="AF55">
        <f>VLOOKUP($AF$6, 'Other Lists'!$B$27:$H$32, 7, FALSE) * AC55 * 8</f>
        <v>1123.2</v>
      </c>
      <c r="AG55">
        <f>VLOOKUP($AG$6, 'Other Lists'!$B$27:$H$32, 7, FALSE) * AD55 * 8</f>
        <v>0</v>
      </c>
      <c r="AH55">
        <f t="shared" si="16"/>
        <v>1641.6</v>
      </c>
      <c r="AI55">
        <f t="shared" si="15"/>
        <v>10.389873417721519</v>
      </c>
      <c r="AJ55">
        <v>2</v>
      </c>
      <c r="AK55">
        <v>1</v>
      </c>
      <c r="AL55">
        <f>VLOOKUP($AL$6, 'Other Lists'!$B$27:$H$32, 7, FALSE) * AJ55 * 8</f>
        <v>648</v>
      </c>
      <c r="AM55">
        <f>VLOOKUP($AM$6, 'Other Lists'!$B$27:$H$32, 7, FALSE) * AK55 * 8</f>
        <v>324</v>
      </c>
      <c r="AN55">
        <f t="shared" si="18"/>
        <v>2613.6</v>
      </c>
    </row>
    <row r="56" spans="2:40">
      <c r="B56">
        <v>226</v>
      </c>
      <c r="C56" s="15">
        <v>45331</v>
      </c>
      <c r="D56">
        <f t="shared" si="3"/>
        <v>6</v>
      </c>
      <c r="E56">
        <f t="shared" si="19"/>
        <v>6</v>
      </c>
      <c r="F56">
        <v>3</v>
      </c>
      <c r="G56">
        <v>105</v>
      </c>
      <c r="H56">
        <v>176</v>
      </c>
      <c r="I56">
        <v>153</v>
      </c>
      <c r="J56">
        <v>25</v>
      </c>
      <c r="K56">
        <v>162</v>
      </c>
      <c r="L56">
        <v>8</v>
      </c>
      <c r="M56">
        <v>33</v>
      </c>
      <c r="N56">
        <v>174</v>
      </c>
      <c r="O56">
        <f t="shared" si="20"/>
        <v>23</v>
      </c>
      <c r="P56" s="17">
        <f t="shared" si="21"/>
        <v>1.1372549019607843</v>
      </c>
      <c r="Q56" s="18">
        <f>VLOOKUP($G$8, 'Other Lists'!$B$13:$H$15, 7, FALSE)</f>
        <v>184</v>
      </c>
      <c r="R56" s="18">
        <f>VLOOKUP($G$8, 'Other Lists'!$B$13:$F$15, 5, FALSE)</f>
        <v>129</v>
      </c>
      <c r="S56" s="18">
        <f>VLOOKUP($G$8, 'Other Lists'!$B$13:$G$15, 6, FALSE)</f>
        <v>36</v>
      </c>
      <c r="T56" s="18">
        <f t="shared" si="22"/>
        <v>165</v>
      </c>
      <c r="U56" s="18">
        <f>VLOOKUP($G$8, 'Other Lists'!$B$13:$H$15, 7, FALSE) *N56</f>
        <v>32016</v>
      </c>
      <c r="V56" s="18">
        <f t="shared" si="23"/>
        <v>25245</v>
      </c>
      <c r="W56" s="18">
        <f t="shared" si="24"/>
        <v>6771</v>
      </c>
      <c r="X56" s="18">
        <f t="shared" si="25"/>
        <v>-3864</v>
      </c>
      <c r="Y56" s="18">
        <f t="shared" si="26"/>
        <v>54168</v>
      </c>
      <c r="Z56">
        <v>6</v>
      </c>
      <c r="AA56">
        <v>6</v>
      </c>
      <c r="AB56">
        <v>0</v>
      </c>
      <c r="AC56">
        <v>4</v>
      </c>
      <c r="AD56">
        <f t="shared" si="17"/>
        <v>0</v>
      </c>
      <c r="AE56">
        <f>VLOOKUP($AE$6, 'Other Lists'!$B$27:$H$32, 7, FALSE) *AB56*8</f>
        <v>0</v>
      </c>
      <c r="AF56">
        <f>VLOOKUP($AF$6, 'Other Lists'!$B$27:$H$32, 7, FALSE) * AC56 * 8</f>
        <v>1123.2</v>
      </c>
      <c r="AG56">
        <f>VLOOKUP($AG$6, 'Other Lists'!$B$27:$H$32, 7, FALSE) * AD56 * 8</f>
        <v>0</v>
      </c>
      <c r="AH56">
        <f t="shared" si="16"/>
        <v>1641.6</v>
      </c>
      <c r="AI56">
        <f t="shared" si="15"/>
        <v>10.729411764705882</v>
      </c>
      <c r="AJ56">
        <v>2</v>
      </c>
      <c r="AK56">
        <v>1</v>
      </c>
      <c r="AL56">
        <f>VLOOKUP($AL$6, 'Other Lists'!$B$27:$H$32, 7, FALSE) * AJ56 * 8</f>
        <v>648</v>
      </c>
      <c r="AM56">
        <f>VLOOKUP($AM$6, 'Other Lists'!$B$27:$H$32, 7, FALSE) * AK56 * 8</f>
        <v>324</v>
      </c>
      <c r="AN56">
        <f t="shared" si="18"/>
        <v>2613.6</v>
      </c>
    </row>
    <row r="57" spans="2:40">
      <c r="B57">
        <v>227</v>
      </c>
      <c r="C57" s="15">
        <v>45332</v>
      </c>
      <c r="D57">
        <f t="shared" si="3"/>
        <v>7</v>
      </c>
      <c r="E57">
        <f t="shared" si="19"/>
        <v>6</v>
      </c>
      <c r="F57">
        <v>3</v>
      </c>
      <c r="G57">
        <v>105</v>
      </c>
      <c r="H57">
        <v>171</v>
      </c>
      <c r="I57">
        <v>133</v>
      </c>
      <c r="J57">
        <v>24</v>
      </c>
      <c r="K57">
        <v>162</v>
      </c>
      <c r="L57">
        <v>0</v>
      </c>
      <c r="M57">
        <v>24</v>
      </c>
      <c r="N57">
        <v>147</v>
      </c>
      <c r="O57">
        <f t="shared" si="20"/>
        <v>38</v>
      </c>
      <c r="P57" s="17">
        <f t="shared" si="21"/>
        <v>1.1052631578947369</v>
      </c>
      <c r="Q57" s="18">
        <f>VLOOKUP($G$8, 'Other Lists'!$B$13:$H$15, 7, FALSE)</f>
        <v>184</v>
      </c>
      <c r="R57" s="18">
        <f>VLOOKUP($G$8, 'Other Lists'!$B$13:$F$15, 5, FALSE)</f>
        <v>129</v>
      </c>
      <c r="S57" s="18">
        <f>VLOOKUP($G$8, 'Other Lists'!$B$13:$G$15, 6, FALSE)</f>
        <v>36</v>
      </c>
      <c r="T57" s="18">
        <f t="shared" si="22"/>
        <v>165</v>
      </c>
      <c r="U57" s="18">
        <f>VLOOKUP($G$8, 'Other Lists'!$B$13:$H$15, 7, FALSE) *N57</f>
        <v>27048</v>
      </c>
      <c r="V57" s="18">
        <f t="shared" si="23"/>
        <v>21945</v>
      </c>
      <c r="W57" s="18">
        <f t="shared" si="24"/>
        <v>5103</v>
      </c>
      <c r="X57" s="18">
        <f t="shared" si="25"/>
        <v>-2576</v>
      </c>
      <c r="Y57" s="18">
        <f t="shared" si="26"/>
        <v>0</v>
      </c>
      <c r="Z57">
        <v>6</v>
      </c>
      <c r="AA57">
        <v>5</v>
      </c>
      <c r="AB57">
        <v>0</v>
      </c>
      <c r="AC57">
        <v>3</v>
      </c>
      <c r="AD57">
        <f t="shared" si="17"/>
        <v>0</v>
      </c>
      <c r="AE57">
        <f>VLOOKUP($AE$6, 'Other Lists'!$B$27:$H$32, 7, FALSE) *AB57*8</f>
        <v>0</v>
      </c>
      <c r="AF57">
        <f>VLOOKUP($AF$6, 'Other Lists'!$B$27:$H$32, 7, FALSE) * AC57 * 8</f>
        <v>842.40000000000009</v>
      </c>
      <c r="AG57">
        <f>VLOOKUP($AG$6, 'Other Lists'!$B$27:$H$32, 7, FALSE) * AD57 * 8</f>
        <v>0</v>
      </c>
      <c r="AH57">
        <f t="shared" si="16"/>
        <v>1641.6</v>
      </c>
      <c r="AI57">
        <f t="shared" si="15"/>
        <v>12.342857142857142</v>
      </c>
      <c r="AJ57">
        <v>2</v>
      </c>
      <c r="AK57">
        <v>1</v>
      </c>
      <c r="AL57">
        <f>VLOOKUP($AL$6, 'Other Lists'!$B$27:$H$32, 7, FALSE) * AJ57 * 8</f>
        <v>648</v>
      </c>
      <c r="AM57">
        <f>VLOOKUP($AM$6, 'Other Lists'!$B$27:$H$32, 7, FALSE) * AK57 * 8</f>
        <v>324</v>
      </c>
      <c r="AN57">
        <f t="shared" si="18"/>
        <v>2613.6</v>
      </c>
    </row>
    <row r="58" spans="2:40">
      <c r="B58">
        <v>230</v>
      </c>
      <c r="C58" s="15">
        <v>45335</v>
      </c>
      <c r="D58">
        <f t="shared" si="3"/>
        <v>3</v>
      </c>
      <c r="E58">
        <f t="shared" si="19"/>
        <v>7</v>
      </c>
      <c r="F58">
        <v>3</v>
      </c>
      <c r="G58">
        <v>105</v>
      </c>
      <c r="H58">
        <v>153</v>
      </c>
      <c r="I58">
        <v>153</v>
      </c>
      <c r="J58">
        <v>2</v>
      </c>
      <c r="K58">
        <v>162</v>
      </c>
      <c r="L58">
        <v>0</v>
      </c>
      <c r="M58">
        <v>2</v>
      </c>
      <c r="N58">
        <v>151</v>
      </c>
      <c r="O58">
        <f t="shared" si="20"/>
        <v>0</v>
      </c>
      <c r="P58" s="17">
        <f t="shared" si="21"/>
        <v>0.98692810457516345</v>
      </c>
      <c r="Q58" s="18">
        <f>VLOOKUP($G$8, 'Other Lists'!$B$13:$H$15, 7, FALSE)</f>
        <v>184</v>
      </c>
      <c r="R58" s="18">
        <f>VLOOKUP($G$8, 'Other Lists'!$B$13:$F$15, 5, FALSE)</f>
        <v>129</v>
      </c>
      <c r="S58" s="18">
        <f>VLOOKUP($G$8, 'Other Lists'!$B$13:$G$15, 6, FALSE)</f>
        <v>36</v>
      </c>
      <c r="T58" s="18">
        <f t="shared" si="22"/>
        <v>165</v>
      </c>
      <c r="U58" s="18">
        <f>VLOOKUP($G$8, 'Other Lists'!$B$13:$H$15, 7, FALSE) *N58</f>
        <v>27784</v>
      </c>
      <c r="V58" s="18">
        <f t="shared" si="23"/>
        <v>25245</v>
      </c>
      <c r="W58" s="18">
        <f t="shared" si="24"/>
        <v>2539</v>
      </c>
      <c r="X58" s="18">
        <f t="shared" si="25"/>
        <v>368</v>
      </c>
      <c r="Y58" s="18">
        <f t="shared" si="26"/>
        <v>0</v>
      </c>
      <c r="Z58">
        <v>6</v>
      </c>
      <c r="AA58">
        <v>6</v>
      </c>
      <c r="AB58">
        <v>0</v>
      </c>
      <c r="AC58">
        <v>3</v>
      </c>
      <c r="AD58">
        <f t="shared" si="17"/>
        <v>1</v>
      </c>
      <c r="AE58">
        <f>VLOOKUP($AE$6, 'Other Lists'!$B$27:$H$32, 7, FALSE) *AB58*8</f>
        <v>0</v>
      </c>
      <c r="AF58">
        <f>VLOOKUP($AF$6, 'Other Lists'!$B$27:$H$32, 7, FALSE) * AC58 * 8</f>
        <v>842.40000000000009</v>
      </c>
      <c r="AG58">
        <f>VLOOKUP($AG$6, 'Other Lists'!$B$27:$H$32, 7, FALSE) * AD58 * 8</f>
        <v>259.2</v>
      </c>
      <c r="AH58">
        <f t="shared" si="16"/>
        <v>1641.6</v>
      </c>
      <c r="AI58">
        <f t="shared" si="15"/>
        <v>10.729411764705882</v>
      </c>
      <c r="AJ58">
        <v>2</v>
      </c>
      <c r="AK58">
        <v>1</v>
      </c>
      <c r="AL58">
        <f>VLOOKUP($AL$6, 'Other Lists'!$B$27:$H$32, 7, FALSE) * AJ58 * 8</f>
        <v>648</v>
      </c>
      <c r="AM58">
        <f>VLOOKUP($AM$6, 'Other Lists'!$B$27:$H$32, 7, FALSE) * AK58 * 8</f>
        <v>324</v>
      </c>
      <c r="AN58">
        <f t="shared" si="18"/>
        <v>2613.6</v>
      </c>
    </row>
    <row r="59" spans="2:40">
      <c r="B59">
        <v>231</v>
      </c>
      <c r="C59" s="15">
        <v>45336</v>
      </c>
      <c r="D59">
        <f t="shared" si="3"/>
        <v>4</v>
      </c>
      <c r="E59">
        <f t="shared" si="19"/>
        <v>7</v>
      </c>
      <c r="F59">
        <v>3</v>
      </c>
      <c r="G59">
        <v>105</v>
      </c>
      <c r="H59">
        <v>153</v>
      </c>
      <c r="I59">
        <v>153</v>
      </c>
      <c r="J59">
        <v>25</v>
      </c>
      <c r="K59">
        <v>162</v>
      </c>
      <c r="L59">
        <v>4</v>
      </c>
      <c r="M59">
        <v>29</v>
      </c>
      <c r="N59">
        <v>165</v>
      </c>
      <c r="O59">
        <f t="shared" si="20"/>
        <v>0</v>
      </c>
      <c r="P59" s="17">
        <f t="shared" si="21"/>
        <v>1.0784313725490196</v>
      </c>
      <c r="Q59" s="18">
        <f>VLOOKUP($G$8, 'Other Lists'!$B$13:$H$15, 7, FALSE)</f>
        <v>184</v>
      </c>
      <c r="R59" s="18">
        <f>VLOOKUP($G$8, 'Other Lists'!$B$13:$F$15, 5, FALSE)</f>
        <v>129</v>
      </c>
      <c r="S59" s="18">
        <f>VLOOKUP($G$8, 'Other Lists'!$B$13:$G$15, 6, FALSE)</f>
        <v>36</v>
      </c>
      <c r="T59" s="18">
        <f t="shared" si="22"/>
        <v>165</v>
      </c>
      <c r="U59" s="18">
        <f>VLOOKUP($G$8, 'Other Lists'!$B$13:$H$15, 7, FALSE) *N59</f>
        <v>30360</v>
      </c>
      <c r="V59" s="18">
        <f t="shared" si="23"/>
        <v>25245</v>
      </c>
      <c r="W59" s="18">
        <f t="shared" si="24"/>
        <v>5115</v>
      </c>
      <c r="X59" s="18">
        <f t="shared" si="25"/>
        <v>-2208</v>
      </c>
      <c r="Y59" s="18">
        <f t="shared" si="26"/>
        <v>20460</v>
      </c>
      <c r="Z59">
        <v>6</v>
      </c>
      <c r="AA59">
        <v>6</v>
      </c>
      <c r="AB59">
        <v>0</v>
      </c>
      <c r="AC59">
        <v>3</v>
      </c>
      <c r="AD59">
        <f t="shared" si="17"/>
        <v>1</v>
      </c>
      <c r="AE59">
        <f>VLOOKUP($AE$6, 'Other Lists'!$B$27:$H$32, 7, FALSE) *AB59*8</f>
        <v>0</v>
      </c>
      <c r="AF59">
        <f>VLOOKUP($AF$6, 'Other Lists'!$B$27:$H$32, 7, FALSE) * AC59 * 8</f>
        <v>842.40000000000009</v>
      </c>
      <c r="AG59">
        <f>VLOOKUP($AG$6, 'Other Lists'!$B$27:$H$32, 7, FALSE) * AD59 * 8</f>
        <v>259.2</v>
      </c>
      <c r="AH59">
        <f t="shared" si="16"/>
        <v>1641.6</v>
      </c>
      <c r="AI59">
        <f t="shared" si="15"/>
        <v>10.729411764705882</v>
      </c>
      <c r="AJ59">
        <v>2</v>
      </c>
      <c r="AK59">
        <v>1</v>
      </c>
      <c r="AL59">
        <f>VLOOKUP($AL$6, 'Other Lists'!$B$27:$H$32, 7, FALSE) * AJ59 * 8</f>
        <v>648</v>
      </c>
      <c r="AM59">
        <f>VLOOKUP($AM$6, 'Other Lists'!$B$27:$H$32, 7, FALSE) * AK59 * 8</f>
        <v>324</v>
      </c>
      <c r="AN59">
        <f t="shared" si="18"/>
        <v>2613.6</v>
      </c>
    </row>
    <row r="60" spans="2:40">
      <c r="B60">
        <v>232</v>
      </c>
      <c r="C60" s="15">
        <v>45337</v>
      </c>
      <c r="D60">
        <f t="shared" si="3"/>
        <v>5</v>
      </c>
      <c r="E60">
        <f t="shared" si="19"/>
        <v>7</v>
      </c>
      <c r="F60">
        <v>3</v>
      </c>
      <c r="G60">
        <v>105</v>
      </c>
      <c r="H60">
        <v>162</v>
      </c>
      <c r="I60">
        <v>155</v>
      </c>
      <c r="J60">
        <v>0</v>
      </c>
      <c r="K60">
        <v>162</v>
      </c>
      <c r="L60">
        <v>0</v>
      </c>
      <c r="M60">
        <v>0</v>
      </c>
      <c r="N60">
        <v>150</v>
      </c>
      <c r="O60">
        <f t="shared" si="20"/>
        <v>7</v>
      </c>
      <c r="P60" s="17">
        <f t="shared" si="21"/>
        <v>0.967741935483871</v>
      </c>
      <c r="Q60" s="18">
        <f>VLOOKUP($G$8, 'Other Lists'!$B$13:$H$15, 7, FALSE)</f>
        <v>184</v>
      </c>
      <c r="R60" s="18">
        <f>VLOOKUP($G$8, 'Other Lists'!$B$13:$F$15, 5, FALSE)</f>
        <v>129</v>
      </c>
      <c r="S60" s="18">
        <f>VLOOKUP($G$8, 'Other Lists'!$B$13:$G$15, 6, FALSE)</f>
        <v>36</v>
      </c>
      <c r="T60" s="18">
        <f t="shared" si="22"/>
        <v>165</v>
      </c>
      <c r="U60" s="18">
        <f>VLOOKUP($G$8, 'Other Lists'!$B$13:$H$15, 7, FALSE) *N60</f>
        <v>27600</v>
      </c>
      <c r="V60" s="18">
        <f t="shared" si="23"/>
        <v>25575</v>
      </c>
      <c r="W60" s="18">
        <f t="shared" si="24"/>
        <v>2025</v>
      </c>
      <c r="X60" s="18">
        <f t="shared" si="25"/>
        <v>920</v>
      </c>
      <c r="Y60" s="18">
        <f t="shared" si="26"/>
        <v>0</v>
      </c>
      <c r="Z60">
        <v>6</v>
      </c>
      <c r="AA60">
        <v>6</v>
      </c>
      <c r="AB60">
        <v>0</v>
      </c>
      <c r="AC60">
        <v>4</v>
      </c>
      <c r="AD60">
        <f t="shared" si="17"/>
        <v>0</v>
      </c>
      <c r="AE60">
        <f>VLOOKUP($AE$6, 'Other Lists'!$B$27:$H$32, 7, FALSE) *AB60*8</f>
        <v>0</v>
      </c>
      <c r="AF60">
        <f>VLOOKUP($AF$6, 'Other Lists'!$B$27:$H$32, 7, FALSE) * AC60 * 8</f>
        <v>1123.2</v>
      </c>
      <c r="AG60">
        <f>VLOOKUP($AG$6, 'Other Lists'!$B$27:$H$32, 7, FALSE) * AD60 * 8</f>
        <v>0</v>
      </c>
      <c r="AH60">
        <f t="shared" si="16"/>
        <v>1641.6</v>
      </c>
      <c r="AI60">
        <f t="shared" si="15"/>
        <v>10.590967741935483</v>
      </c>
      <c r="AJ60">
        <v>2</v>
      </c>
      <c r="AK60">
        <v>1</v>
      </c>
      <c r="AL60">
        <f>VLOOKUP($AL$6, 'Other Lists'!$B$27:$H$32, 7, FALSE) * AJ60 * 8</f>
        <v>648</v>
      </c>
      <c r="AM60">
        <f>VLOOKUP($AM$6, 'Other Lists'!$B$27:$H$32, 7, FALSE) * AK60 * 8</f>
        <v>324</v>
      </c>
      <c r="AN60">
        <f t="shared" si="18"/>
        <v>2613.6</v>
      </c>
    </row>
    <row r="61" spans="2:40">
      <c r="B61">
        <v>233</v>
      </c>
      <c r="C61" s="15">
        <v>45338</v>
      </c>
      <c r="D61">
        <f t="shared" si="3"/>
        <v>6</v>
      </c>
      <c r="E61">
        <f t="shared" si="19"/>
        <v>7</v>
      </c>
      <c r="F61">
        <v>3</v>
      </c>
      <c r="G61">
        <v>105</v>
      </c>
      <c r="H61">
        <v>189</v>
      </c>
      <c r="I61">
        <v>158</v>
      </c>
      <c r="J61">
        <v>0</v>
      </c>
      <c r="K61">
        <v>162</v>
      </c>
      <c r="L61">
        <v>0</v>
      </c>
      <c r="M61">
        <v>0</v>
      </c>
      <c r="N61">
        <v>151</v>
      </c>
      <c r="O61">
        <f t="shared" si="20"/>
        <v>31</v>
      </c>
      <c r="P61" s="17">
        <f t="shared" si="21"/>
        <v>0.95569620253164556</v>
      </c>
      <c r="Q61" s="18">
        <f>VLOOKUP($G$8, 'Other Lists'!$B$13:$H$15, 7, FALSE)</f>
        <v>184</v>
      </c>
      <c r="R61" s="18">
        <f>VLOOKUP($G$8, 'Other Lists'!$B$13:$F$15, 5, FALSE)</f>
        <v>129</v>
      </c>
      <c r="S61" s="18">
        <f>VLOOKUP($G$8, 'Other Lists'!$B$13:$G$15, 6, FALSE)</f>
        <v>36</v>
      </c>
      <c r="T61" s="18">
        <f t="shared" si="22"/>
        <v>165</v>
      </c>
      <c r="U61" s="18">
        <f>VLOOKUP($G$8, 'Other Lists'!$B$13:$H$15, 7, FALSE) *N61</f>
        <v>27784</v>
      </c>
      <c r="V61" s="18">
        <f t="shared" si="23"/>
        <v>26070</v>
      </c>
      <c r="W61" s="18">
        <f t="shared" si="24"/>
        <v>1714</v>
      </c>
      <c r="X61" s="18">
        <f t="shared" si="25"/>
        <v>1288</v>
      </c>
      <c r="Y61" s="18">
        <f t="shared" si="26"/>
        <v>0</v>
      </c>
      <c r="Z61">
        <v>6</v>
      </c>
      <c r="AA61">
        <v>6</v>
      </c>
      <c r="AB61">
        <v>0</v>
      </c>
      <c r="AC61">
        <v>3</v>
      </c>
      <c r="AD61">
        <f t="shared" si="17"/>
        <v>1</v>
      </c>
      <c r="AE61">
        <f>VLOOKUP($AE$6, 'Other Lists'!$B$27:$H$32, 7, FALSE) *AB61*8</f>
        <v>0</v>
      </c>
      <c r="AF61">
        <f>VLOOKUP($AF$6, 'Other Lists'!$B$27:$H$32, 7, FALSE) * AC61 * 8</f>
        <v>842.40000000000009</v>
      </c>
      <c r="AG61">
        <f>VLOOKUP($AG$6, 'Other Lists'!$B$27:$H$32, 7, FALSE) * AD61 * 8</f>
        <v>259.2</v>
      </c>
      <c r="AH61">
        <f t="shared" si="16"/>
        <v>1641.6</v>
      </c>
      <c r="AI61">
        <f t="shared" si="15"/>
        <v>10.389873417721519</v>
      </c>
      <c r="AJ61">
        <v>2</v>
      </c>
      <c r="AK61">
        <v>1</v>
      </c>
      <c r="AL61">
        <f>VLOOKUP($AL$6, 'Other Lists'!$B$27:$H$32, 7, FALSE) * AJ61 * 8</f>
        <v>648</v>
      </c>
      <c r="AM61">
        <f>VLOOKUP($AM$6, 'Other Lists'!$B$27:$H$32, 7, FALSE) * AK61 * 8</f>
        <v>324</v>
      </c>
      <c r="AN61">
        <f t="shared" si="18"/>
        <v>2613.6</v>
      </c>
    </row>
    <row r="62" spans="2:40">
      <c r="B62">
        <v>234</v>
      </c>
      <c r="C62" s="15">
        <v>45339</v>
      </c>
      <c r="D62">
        <f t="shared" si="3"/>
        <v>7</v>
      </c>
      <c r="E62">
        <f t="shared" si="19"/>
        <v>7</v>
      </c>
      <c r="F62">
        <v>3</v>
      </c>
      <c r="G62">
        <v>105</v>
      </c>
      <c r="H62">
        <v>140</v>
      </c>
      <c r="I62">
        <v>140</v>
      </c>
      <c r="J62">
        <v>38</v>
      </c>
      <c r="K62">
        <v>162</v>
      </c>
      <c r="L62">
        <v>5</v>
      </c>
      <c r="M62">
        <v>43</v>
      </c>
      <c r="N62">
        <v>165</v>
      </c>
      <c r="O62">
        <f t="shared" si="20"/>
        <v>0</v>
      </c>
      <c r="P62" s="17">
        <f t="shared" si="21"/>
        <v>1.1785714285714286</v>
      </c>
      <c r="Q62" s="18">
        <f>VLOOKUP($G$8, 'Other Lists'!$B$13:$H$15, 7, FALSE)</f>
        <v>184</v>
      </c>
      <c r="R62" s="18">
        <f>VLOOKUP($G$8, 'Other Lists'!$B$13:$F$15, 5, FALSE)</f>
        <v>129</v>
      </c>
      <c r="S62" s="18">
        <f>VLOOKUP($G$8, 'Other Lists'!$B$13:$G$15, 6, FALSE)</f>
        <v>36</v>
      </c>
      <c r="T62" s="18">
        <f t="shared" si="22"/>
        <v>165</v>
      </c>
      <c r="U62" s="18">
        <f>VLOOKUP($G$8, 'Other Lists'!$B$13:$H$15, 7, FALSE) *N62</f>
        <v>30360</v>
      </c>
      <c r="V62" s="18">
        <f t="shared" si="23"/>
        <v>23100</v>
      </c>
      <c r="W62" s="18">
        <f t="shared" si="24"/>
        <v>7260</v>
      </c>
      <c r="X62" s="18">
        <f t="shared" si="25"/>
        <v>-4600</v>
      </c>
      <c r="Y62" s="18">
        <f t="shared" si="26"/>
        <v>36300</v>
      </c>
      <c r="Z62">
        <v>6</v>
      </c>
      <c r="AA62">
        <v>6</v>
      </c>
      <c r="AB62">
        <v>0</v>
      </c>
      <c r="AC62">
        <v>3</v>
      </c>
      <c r="AD62">
        <f t="shared" si="17"/>
        <v>1</v>
      </c>
      <c r="AE62">
        <f>VLOOKUP($AE$6, 'Other Lists'!$B$27:$H$32, 7, FALSE) *AB62*8</f>
        <v>0</v>
      </c>
      <c r="AF62">
        <f>VLOOKUP($AF$6, 'Other Lists'!$B$27:$H$32, 7, FALSE) * AC62 * 8</f>
        <v>842.40000000000009</v>
      </c>
      <c r="AG62">
        <f>VLOOKUP($AG$6, 'Other Lists'!$B$27:$H$32, 7, FALSE) * AD62 * 8</f>
        <v>259.2</v>
      </c>
      <c r="AH62">
        <f t="shared" si="16"/>
        <v>1641.6</v>
      </c>
      <c r="AI62">
        <f t="shared" si="15"/>
        <v>11.725714285714284</v>
      </c>
      <c r="AJ62">
        <v>2</v>
      </c>
      <c r="AK62">
        <v>1</v>
      </c>
      <c r="AL62">
        <f>VLOOKUP($AL$6, 'Other Lists'!$B$27:$H$32, 7, FALSE) * AJ62 * 8</f>
        <v>648</v>
      </c>
      <c r="AM62">
        <f>VLOOKUP($AM$6, 'Other Lists'!$B$27:$H$32, 7, FALSE) * AK62 * 8</f>
        <v>324</v>
      </c>
      <c r="AN62">
        <f t="shared" si="18"/>
        <v>2613.6</v>
      </c>
    </row>
    <row r="63" spans="2:40">
      <c r="B63">
        <v>237</v>
      </c>
      <c r="C63" s="15">
        <v>45342</v>
      </c>
      <c r="D63">
        <f t="shared" si="3"/>
        <v>3</v>
      </c>
      <c r="E63">
        <f t="shared" si="19"/>
        <v>8</v>
      </c>
      <c r="F63">
        <v>3</v>
      </c>
      <c r="G63">
        <v>105</v>
      </c>
      <c r="H63">
        <v>136</v>
      </c>
      <c r="I63">
        <v>136</v>
      </c>
      <c r="J63">
        <v>42</v>
      </c>
      <c r="K63">
        <v>162</v>
      </c>
      <c r="L63">
        <v>12</v>
      </c>
      <c r="M63">
        <v>54</v>
      </c>
      <c r="N63">
        <v>172</v>
      </c>
      <c r="O63">
        <f t="shared" si="20"/>
        <v>0</v>
      </c>
      <c r="P63" s="17">
        <f t="shared" si="21"/>
        <v>1.2647058823529411</v>
      </c>
      <c r="Q63" s="18">
        <f>VLOOKUP($G$8, 'Other Lists'!$B$13:$H$15, 7, FALSE)</f>
        <v>184</v>
      </c>
      <c r="R63" s="18">
        <f>VLOOKUP($G$8, 'Other Lists'!$B$13:$F$15, 5, FALSE)</f>
        <v>129</v>
      </c>
      <c r="S63" s="18">
        <f>VLOOKUP($G$8, 'Other Lists'!$B$13:$G$15, 6, FALSE)</f>
        <v>36</v>
      </c>
      <c r="T63" s="18">
        <f t="shared" si="22"/>
        <v>165</v>
      </c>
      <c r="U63" s="18">
        <f>VLOOKUP($G$8, 'Other Lists'!$B$13:$H$15, 7, FALSE) *N63</f>
        <v>31648</v>
      </c>
      <c r="V63" s="18">
        <f t="shared" si="23"/>
        <v>22440</v>
      </c>
      <c r="W63" s="18">
        <f t="shared" si="24"/>
        <v>9208</v>
      </c>
      <c r="X63" s="18">
        <f t="shared" si="25"/>
        <v>-6624</v>
      </c>
      <c r="Y63" s="18">
        <f t="shared" si="26"/>
        <v>110496</v>
      </c>
      <c r="Z63">
        <v>6</v>
      </c>
      <c r="AA63">
        <v>6</v>
      </c>
      <c r="AB63">
        <v>0</v>
      </c>
      <c r="AC63">
        <v>4</v>
      </c>
      <c r="AD63">
        <f t="shared" si="17"/>
        <v>0</v>
      </c>
      <c r="AE63">
        <f>VLOOKUP($AE$6, 'Other Lists'!$B$27:$H$32, 7, FALSE) *AB63*8</f>
        <v>0</v>
      </c>
      <c r="AF63">
        <f>VLOOKUP($AF$6, 'Other Lists'!$B$27:$H$32, 7, FALSE) * AC63 * 8</f>
        <v>1123.2</v>
      </c>
      <c r="AG63">
        <f>VLOOKUP($AG$6, 'Other Lists'!$B$27:$H$32, 7, FALSE) * AD63 * 8</f>
        <v>0</v>
      </c>
      <c r="AH63">
        <f t="shared" si="16"/>
        <v>1641.6</v>
      </c>
      <c r="AI63">
        <f t="shared" si="15"/>
        <v>12.070588235294117</v>
      </c>
      <c r="AJ63">
        <v>2</v>
      </c>
      <c r="AK63">
        <v>1</v>
      </c>
      <c r="AL63">
        <f>VLOOKUP($AL$6, 'Other Lists'!$B$27:$H$32, 7, FALSE) * AJ63 * 8</f>
        <v>648</v>
      </c>
      <c r="AM63">
        <f>VLOOKUP($AM$6, 'Other Lists'!$B$27:$H$32, 7, FALSE) * AK63 * 8</f>
        <v>324</v>
      </c>
      <c r="AN63">
        <f t="shared" si="18"/>
        <v>2613.6</v>
      </c>
    </row>
    <row r="64" spans="2:40">
      <c r="B64">
        <v>238</v>
      </c>
      <c r="C64" s="15">
        <v>45343</v>
      </c>
      <c r="D64">
        <f t="shared" si="3"/>
        <v>4</v>
      </c>
      <c r="E64">
        <f t="shared" si="19"/>
        <v>8</v>
      </c>
      <c r="F64">
        <v>3</v>
      </c>
      <c r="G64">
        <v>105</v>
      </c>
      <c r="H64">
        <v>137</v>
      </c>
      <c r="I64">
        <v>137</v>
      </c>
      <c r="J64">
        <v>15</v>
      </c>
      <c r="K64">
        <v>162</v>
      </c>
      <c r="L64">
        <v>0</v>
      </c>
      <c r="M64">
        <v>15</v>
      </c>
      <c r="N64">
        <v>144</v>
      </c>
      <c r="O64">
        <f t="shared" si="20"/>
        <v>0</v>
      </c>
      <c r="P64" s="17">
        <f t="shared" si="21"/>
        <v>1.051094890510949</v>
      </c>
      <c r="Q64" s="18">
        <f>VLOOKUP($G$8, 'Other Lists'!$B$13:$H$15, 7, FALSE)</f>
        <v>184</v>
      </c>
      <c r="R64" s="18">
        <f>VLOOKUP($G$8, 'Other Lists'!$B$13:$F$15, 5, FALSE)</f>
        <v>129</v>
      </c>
      <c r="S64" s="18">
        <f>VLOOKUP($G$8, 'Other Lists'!$B$13:$G$15, 6, FALSE)</f>
        <v>36</v>
      </c>
      <c r="T64" s="18">
        <f t="shared" si="22"/>
        <v>165</v>
      </c>
      <c r="U64" s="18">
        <f>VLOOKUP($G$8, 'Other Lists'!$B$13:$H$15, 7, FALSE) *N64</f>
        <v>26496</v>
      </c>
      <c r="V64" s="18">
        <f t="shared" si="23"/>
        <v>22605</v>
      </c>
      <c r="W64" s="18">
        <f t="shared" si="24"/>
        <v>3891</v>
      </c>
      <c r="X64" s="18">
        <f t="shared" si="25"/>
        <v>-1288</v>
      </c>
      <c r="Y64" s="18">
        <f t="shared" si="26"/>
        <v>0</v>
      </c>
      <c r="Z64">
        <v>6</v>
      </c>
      <c r="AA64">
        <v>6</v>
      </c>
      <c r="AB64">
        <v>0</v>
      </c>
      <c r="AC64">
        <v>4</v>
      </c>
      <c r="AD64">
        <f t="shared" si="17"/>
        <v>0</v>
      </c>
      <c r="AE64">
        <f>VLOOKUP($AE$6, 'Other Lists'!$B$27:$H$32, 7, FALSE) *AB64*8</f>
        <v>0</v>
      </c>
      <c r="AF64">
        <f>VLOOKUP($AF$6, 'Other Lists'!$B$27:$H$32, 7, FALSE) * AC64 * 8</f>
        <v>1123.2</v>
      </c>
      <c r="AG64">
        <f>VLOOKUP($AG$6, 'Other Lists'!$B$27:$H$32, 7, FALSE) * AD64 * 8</f>
        <v>0</v>
      </c>
      <c r="AH64">
        <f t="shared" si="16"/>
        <v>1641.6</v>
      </c>
      <c r="AI64">
        <f t="shared" si="15"/>
        <v>11.982481751824817</v>
      </c>
      <c r="AJ64">
        <v>2</v>
      </c>
      <c r="AK64">
        <v>1</v>
      </c>
      <c r="AL64">
        <f>VLOOKUP($AL$6, 'Other Lists'!$B$27:$H$32, 7, FALSE) * AJ64 * 8</f>
        <v>648</v>
      </c>
      <c r="AM64">
        <f>VLOOKUP($AM$6, 'Other Lists'!$B$27:$H$32, 7, FALSE) * AK64 * 8</f>
        <v>324</v>
      </c>
      <c r="AN64">
        <f t="shared" si="18"/>
        <v>2613.6</v>
      </c>
    </row>
    <row r="65" spans="2:40">
      <c r="B65">
        <v>239</v>
      </c>
      <c r="C65" s="15">
        <v>45344</v>
      </c>
      <c r="D65">
        <f t="shared" si="3"/>
        <v>5</v>
      </c>
      <c r="E65">
        <f t="shared" si="19"/>
        <v>8</v>
      </c>
      <c r="F65">
        <v>3</v>
      </c>
      <c r="G65">
        <v>105</v>
      </c>
      <c r="H65">
        <v>155</v>
      </c>
      <c r="I65">
        <v>155</v>
      </c>
      <c r="J65">
        <v>10</v>
      </c>
      <c r="K65">
        <v>162</v>
      </c>
      <c r="L65">
        <v>0</v>
      </c>
      <c r="M65">
        <v>10</v>
      </c>
      <c r="N65">
        <v>161</v>
      </c>
      <c r="O65">
        <f t="shared" si="20"/>
        <v>0</v>
      </c>
      <c r="P65" s="17">
        <f t="shared" si="21"/>
        <v>1.0387096774193549</v>
      </c>
      <c r="Q65" s="18">
        <f>VLOOKUP($G$8, 'Other Lists'!$B$13:$H$15, 7, FALSE)</f>
        <v>184</v>
      </c>
      <c r="R65" s="18">
        <f>VLOOKUP($G$8, 'Other Lists'!$B$13:$F$15, 5, FALSE)</f>
        <v>129</v>
      </c>
      <c r="S65" s="18">
        <f>VLOOKUP($G$8, 'Other Lists'!$B$13:$G$15, 6, FALSE)</f>
        <v>36</v>
      </c>
      <c r="T65" s="18">
        <f t="shared" si="22"/>
        <v>165</v>
      </c>
      <c r="U65" s="18">
        <f>VLOOKUP($G$8, 'Other Lists'!$B$13:$H$15, 7, FALSE) *N65</f>
        <v>29624</v>
      </c>
      <c r="V65" s="18">
        <f t="shared" si="23"/>
        <v>25575</v>
      </c>
      <c r="W65" s="18">
        <f t="shared" si="24"/>
        <v>4049</v>
      </c>
      <c r="X65" s="18">
        <f t="shared" si="25"/>
        <v>-1104</v>
      </c>
      <c r="Y65" s="18">
        <f t="shared" si="26"/>
        <v>0</v>
      </c>
      <c r="Z65">
        <v>6</v>
      </c>
      <c r="AA65">
        <v>6</v>
      </c>
      <c r="AB65">
        <v>0</v>
      </c>
      <c r="AC65">
        <v>3</v>
      </c>
      <c r="AD65">
        <f t="shared" si="17"/>
        <v>1</v>
      </c>
      <c r="AE65">
        <f>VLOOKUP($AE$6, 'Other Lists'!$B$27:$H$32, 7, FALSE) *AB65*8</f>
        <v>0</v>
      </c>
      <c r="AF65">
        <f>VLOOKUP($AF$6, 'Other Lists'!$B$27:$H$32, 7, FALSE) * AC65 * 8</f>
        <v>842.40000000000009</v>
      </c>
      <c r="AG65">
        <f>VLOOKUP($AG$6, 'Other Lists'!$B$27:$H$32, 7, FALSE) * AD65 * 8</f>
        <v>259.2</v>
      </c>
      <c r="AH65">
        <f t="shared" si="16"/>
        <v>1641.6</v>
      </c>
      <c r="AI65">
        <f t="shared" si="15"/>
        <v>10.590967741935483</v>
      </c>
      <c r="AJ65">
        <v>2</v>
      </c>
      <c r="AK65">
        <v>1</v>
      </c>
      <c r="AL65">
        <f>VLOOKUP($AL$6, 'Other Lists'!$B$27:$H$32, 7, FALSE) * AJ65 * 8</f>
        <v>648</v>
      </c>
      <c r="AM65">
        <f>VLOOKUP($AM$6, 'Other Lists'!$B$27:$H$32, 7, FALSE) * AK65 * 8</f>
        <v>324</v>
      </c>
      <c r="AN65">
        <f t="shared" si="18"/>
        <v>2613.6</v>
      </c>
    </row>
    <row r="66" spans="2:40">
      <c r="B66">
        <v>240</v>
      </c>
      <c r="C66" s="15">
        <v>45345</v>
      </c>
      <c r="D66">
        <f t="shared" si="3"/>
        <v>6</v>
      </c>
      <c r="E66">
        <f t="shared" si="19"/>
        <v>8</v>
      </c>
      <c r="F66">
        <v>3</v>
      </c>
      <c r="G66">
        <v>105</v>
      </c>
      <c r="H66">
        <v>178</v>
      </c>
      <c r="I66">
        <v>158</v>
      </c>
      <c r="J66">
        <v>0</v>
      </c>
      <c r="K66">
        <v>162</v>
      </c>
      <c r="L66">
        <v>0</v>
      </c>
      <c r="M66">
        <v>0</v>
      </c>
      <c r="N66">
        <v>153</v>
      </c>
      <c r="O66">
        <f t="shared" si="20"/>
        <v>20</v>
      </c>
      <c r="P66" s="17">
        <f t="shared" si="21"/>
        <v>0.96835443037974689</v>
      </c>
      <c r="Q66" s="18">
        <f>VLOOKUP($G$8, 'Other Lists'!$B$13:$H$15, 7, FALSE)</f>
        <v>184</v>
      </c>
      <c r="R66" s="18">
        <f>VLOOKUP($G$8, 'Other Lists'!$B$13:$F$15, 5, FALSE)</f>
        <v>129</v>
      </c>
      <c r="S66" s="18">
        <f>VLOOKUP($G$8, 'Other Lists'!$B$13:$G$15, 6, FALSE)</f>
        <v>36</v>
      </c>
      <c r="T66" s="18">
        <f t="shared" si="22"/>
        <v>165</v>
      </c>
      <c r="U66" s="18">
        <f>VLOOKUP($G$8, 'Other Lists'!$B$13:$H$15, 7, FALSE) *N66</f>
        <v>28152</v>
      </c>
      <c r="V66" s="18">
        <f t="shared" si="23"/>
        <v>26070</v>
      </c>
      <c r="W66" s="18">
        <f t="shared" si="24"/>
        <v>2082</v>
      </c>
      <c r="X66" s="18">
        <f t="shared" si="25"/>
        <v>920</v>
      </c>
      <c r="Y66" s="18">
        <f t="shared" si="26"/>
        <v>0</v>
      </c>
      <c r="Z66">
        <v>6</v>
      </c>
      <c r="AA66">
        <v>6</v>
      </c>
      <c r="AB66">
        <v>0</v>
      </c>
      <c r="AC66">
        <v>3</v>
      </c>
      <c r="AD66">
        <f t="shared" si="17"/>
        <v>1</v>
      </c>
      <c r="AE66">
        <f>VLOOKUP($AE$6, 'Other Lists'!$B$27:$H$32, 7, FALSE) *AB66*8</f>
        <v>0</v>
      </c>
      <c r="AF66">
        <f>VLOOKUP($AF$6, 'Other Lists'!$B$27:$H$32, 7, FALSE) * AC66 * 8</f>
        <v>842.40000000000009</v>
      </c>
      <c r="AG66">
        <f>VLOOKUP($AG$6, 'Other Lists'!$B$27:$H$32, 7, FALSE) * AD66 * 8</f>
        <v>259.2</v>
      </c>
      <c r="AH66">
        <f t="shared" si="16"/>
        <v>1641.6</v>
      </c>
      <c r="AI66">
        <f t="shared" si="15"/>
        <v>10.389873417721519</v>
      </c>
      <c r="AJ66">
        <v>2</v>
      </c>
      <c r="AK66">
        <v>1</v>
      </c>
      <c r="AL66">
        <f>VLOOKUP($AL$6, 'Other Lists'!$B$27:$H$32, 7, FALSE) * AJ66 * 8</f>
        <v>648</v>
      </c>
      <c r="AM66">
        <f>VLOOKUP($AM$6, 'Other Lists'!$B$27:$H$32, 7, FALSE) * AK66 * 8</f>
        <v>324</v>
      </c>
      <c r="AN66">
        <f t="shared" si="18"/>
        <v>2613.6</v>
      </c>
    </row>
    <row r="67" spans="2:40">
      <c r="B67">
        <v>241</v>
      </c>
      <c r="C67" s="15">
        <v>45346</v>
      </c>
      <c r="D67">
        <f t="shared" si="3"/>
        <v>7</v>
      </c>
      <c r="E67">
        <f t="shared" si="19"/>
        <v>8</v>
      </c>
      <c r="F67">
        <v>3</v>
      </c>
      <c r="G67">
        <v>105</v>
      </c>
      <c r="H67">
        <v>136</v>
      </c>
      <c r="I67">
        <v>136</v>
      </c>
      <c r="J67">
        <v>38</v>
      </c>
      <c r="K67">
        <v>162</v>
      </c>
      <c r="L67">
        <v>0</v>
      </c>
      <c r="M67">
        <v>38</v>
      </c>
      <c r="N67">
        <v>165</v>
      </c>
      <c r="O67">
        <f t="shared" si="20"/>
        <v>0</v>
      </c>
      <c r="P67" s="17">
        <f t="shared" si="21"/>
        <v>1.213235294117647</v>
      </c>
      <c r="Q67" s="18">
        <f>VLOOKUP($G$8, 'Other Lists'!$B$13:$H$15, 7, FALSE)</f>
        <v>184</v>
      </c>
      <c r="R67" s="18">
        <f>VLOOKUP($G$8, 'Other Lists'!$B$13:$F$15, 5, FALSE)</f>
        <v>129</v>
      </c>
      <c r="S67" s="18">
        <f>VLOOKUP($G$8, 'Other Lists'!$B$13:$G$15, 6, FALSE)</f>
        <v>36</v>
      </c>
      <c r="T67" s="18">
        <f t="shared" si="22"/>
        <v>165</v>
      </c>
      <c r="U67" s="18">
        <f>VLOOKUP($G$8, 'Other Lists'!$B$13:$H$15, 7, FALSE) *N67</f>
        <v>30360</v>
      </c>
      <c r="V67" s="18">
        <f t="shared" si="23"/>
        <v>22440</v>
      </c>
      <c r="W67" s="18">
        <f t="shared" si="24"/>
        <v>7920</v>
      </c>
      <c r="X67" s="18">
        <f t="shared" si="25"/>
        <v>-5336</v>
      </c>
      <c r="Y67" s="18">
        <f t="shared" si="26"/>
        <v>0</v>
      </c>
      <c r="Z67">
        <v>6</v>
      </c>
      <c r="AA67">
        <v>6</v>
      </c>
      <c r="AB67">
        <v>0</v>
      </c>
      <c r="AC67">
        <v>3</v>
      </c>
      <c r="AD67">
        <f t="shared" si="17"/>
        <v>1</v>
      </c>
      <c r="AE67">
        <f>VLOOKUP($AE$6, 'Other Lists'!$B$27:$H$32, 7, FALSE) *AB67*8</f>
        <v>0</v>
      </c>
      <c r="AF67">
        <f>VLOOKUP($AF$6, 'Other Lists'!$B$27:$H$32, 7, FALSE) * AC67 * 8</f>
        <v>842.40000000000009</v>
      </c>
      <c r="AG67">
        <f>VLOOKUP($AG$6, 'Other Lists'!$B$27:$H$32, 7, FALSE) * AD67 * 8</f>
        <v>259.2</v>
      </c>
      <c r="AH67">
        <f t="shared" si="16"/>
        <v>1641.6</v>
      </c>
      <c r="AI67">
        <f t="shared" si="15"/>
        <v>12.070588235294117</v>
      </c>
      <c r="AJ67">
        <v>2</v>
      </c>
      <c r="AK67">
        <v>1</v>
      </c>
      <c r="AL67">
        <f>VLOOKUP($AL$6, 'Other Lists'!$B$27:$H$32, 7, FALSE) * AJ67 * 8</f>
        <v>648</v>
      </c>
      <c r="AM67">
        <f>VLOOKUP($AM$6, 'Other Lists'!$B$27:$H$32, 7, FALSE) * AK67 * 8</f>
        <v>324</v>
      </c>
      <c r="AN67">
        <f t="shared" si="18"/>
        <v>2613.6</v>
      </c>
    </row>
    <row r="68" spans="2:40">
      <c r="B68">
        <v>244</v>
      </c>
      <c r="C68" s="15">
        <v>45349</v>
      </c>
      <c r="D68">
        <f t="shared" si="3"/>
        <v>3</v>
      </c>
      <c r="E68">
        <f t="shared" si="19"/>
        <v>9</v>
      </c>
      <c r="F68">
        <v>3</v>
      </c>
      <c r="G68">
        <v>105</v>
      </c>
      <c r="H68">
        <v>139</v>
      </c>
      <c r="I68">
        <v>139</v>
      </c>
      <c r="J68">
        <v>2</v>
      </c>
      <c r="K68">
        <v>162</v>
      </c>
      <c r="L68">
        <v>0</v>
      </c>
      <c r="M68">
        <v>2</v>
      </c>
      <c r="N68">
        <v>132</v>
      </c>
      <c r="O68">
        <f t="shared" si="20"/>
        <v>0</v>
      </c>
      <c r="P68" s="17">
        <f t="shared" si="21"/>
        <v>0.94964028776978415</v>
      </c>
      <c r="Q68" s="18">
        <f>VLOOKUP($G$8, 'Other Lists'!$B$13:$H$15, 7, FALSE)</f>
        <v>184</v>
      </c>
      <c r="R68" s="18">
        <f>VLOOKUP($G$8, 'Other Lists'!$B$13:$F$15, 5, FALSE)</f>
        <v>129</v>
      </c>
      <c r="S68" s="18">
        <f>VLOOKUP($G$8, 'Other Lists'!$B$13:$G$15, 6, FALSE)</f>
        <v>36</v>
      </c>
      <c r="T68" s="18">
        <f t="shared" si="22"/>
        <v>165</v>
      </c>
      <c r="U68" s="18">
        <f>VLOOKUP($G$8, 'Other Lists'!$B$13:$H$15, 7, FALSE) *N68</f>
        <v>24288</v>
      </c>
      <c r="V68" s="18">
        <f t="shared" si="23"/>
        <v>22935</v>
      </c>
      <c r="W68" s="18">
        <f t="shared" si="24"/>
        <v>1353</v>
      </c>
      <c r="X68" s="18">
        <f t="shared" si="25"/>
        <v>1288</v>
      </c>
      <c r="Y68" s="18">
        <f t="shared" si="26"/>
        <v>0</v>
      </c>
      <c r="Z68">
        <v>6</v>
      </c>
      <c r="AA68">
        <v>6</v>
      </c>
      <c r="AB68">
        <v>0</v>
      </c>
      <c r="AC68">
        <v>3</v>
      </c>
      <c r="AD68">
        <f t="shared" si="17"/>
        <v>1</v>
      </c>
      <c r="AE68">
        <f>VLOOKUP($AE$6, 'Other Lists'!$B$27:$H$32, 7, FALSE) *AB68*8</f>
        <v>0</v>
      </c>
      <c r="AF68">
        <f>VLOOKUP($AF$6, 'Other Lists'!$B$27:$H$32, 7, FALSE) * AC68 * 8</f>
        <v>842.40000000000009</v>
      </c>
      <c r="AG68">
        <f>VLOOKUP($AG$6, 'Other Lists'!$B$27:$H$32, 7, FALSE) * AD68 * 8</f>
        <v>259.2</v>
      </c>
      <c r="AH68">
        <f t="shared" si="16"/>
        <v>1641.6</v>
      </c>
      <c r="AI68">
        <f t="shared" si="15"/>
        <v>11.810071942446042</v>
      </c>
      <c r="AJ68">
        <v>2</v>
      </c>
      <c r="AK68">
        <v>1</v>
      </c>
      <c r="AL68">
        <f>VLOOKUP($AL$6, 'Other Lists'!$B$27:$H$32, 7, FALSE) * AJ68 * 8</f>
        <v>648</v>
      </c>
      <c r="AM68">
        <f>VLOOKUP($AM$6, 'Other Lists'!$B$27:$H$32, 7, FALSE) * AK68 * 8</f>
        <v>324</v>
      </c>
      <c r="AN68">
        <f t="shared" si="18"/>
        <v>2613.6</v>
      </c>
    </row>
    <row r="69" spans="2:40">
      <c r="B69">
        <v>245</v>
      </c>
      <c r="C69" s="15">
        <v>45350</v>
      </c>
      <c r="D69">
        <f t="shared" si="3"/>
        <v>4</v>
      </c>
      <c r="E69">
        <f t="shared" si="19"/>
        <v>9</v>
      </c>
      <c r="F69">
        <v>3</v>
      </c>
      <c r="G69">
        <v>105</v>
      </c>
      <c r="H69">
        <v>179</v>
      </c>
      <c r="I69">
        <v>155</v>
      </c>
      <c r="J69">
        <v>0</v>
      </c>
      <c r="K69">
        <v>162</v>
      </c>
      <c r="L69">
        <v>0</v>
      </c>
      <c r="M69">
        <v>0</v>
      </c>
      <c r="N69">
        <v>145</v>
      </c>
      <c r="O69">
        <f t="shared" si="20"/>
        <v>24</v>
      </c>
      <c r="P69" s="17">
        <f t="shared" si="21"/>
        <v>0.93548387096774188</v>
      </c>
      <c r="Q69" s="18">
        <f>VLOOKUP($G$8, 'Other Lists'!$B$13:$H$15, 7, FALSE)</f>
        <v>184</v>
      </c>
      <c r="R69" s="18">
        <f>VLOOKUP($G$8, 'Other Lists'!$B$13:$F$15, 5, FALSE)</f>
        <v>129</v>
      </c>
      <c r="S69" s="18">
        <f>VLOOKUP($G$8, 'Other Lists'!$B$13:$G$15, 6, FALSE)</f>
        <v>36</v>
      </c>
      <c r="T69" s="18">
        <f t="shared" si="22"/>
        <v>165</v>
      </c>
      <c r="U69" s="18">
        <f>VLOOKUP($G$8, 'Other Lists'!$B$13:$H$15, 7, FALSE) *N69</f>
        <v>26680</v>
      </c>
      <c r="V69" s="18">
        <f t="shared" si="23"/>
        <v>25575</v>
      </c>
      <c r="W69" s="18">
        <f t="shared" si="24"/>
        <v>1105</v>
      </c>
      <c r="X69" s="18">
        <f t="shared" si="25"/>
        <v>1840</v>
      </c>
      <c r="Y69" s="18">
        <f t="shared" si="26"/>
        <v>0</v>
      </c>
      <c r="Z69">
        <v>6</v>
      </c>
      <c r="AA69">
        <v>6</v>
      </c>
      <c r="AB69">
        <v>0</v>
      </c>
      <c r="AC69">
        <v>3</v>
      </c>
      <c r="AD69">
        <f t="shared" si="17"/>
        <v>1</v>
      </c>
      <c r="AE69">
        <f>VLOOKUP($AE$6, 'Other Lists'!$B$27:$H$32, 7, FALSE) *AB69*8</f>
        <v>0</v>
      </c>
      <c r="AF69">
        <f>VLOOKUP($AF$6, 'Other Lists'!$B$27:$H$32, 7, FALSE) * AC69 * 8</f>
        <v>842.40000000000009</v>
      </c>
      <c r="AG69">
        <f>VLOOKUP($AG$6, 'Other Lists'!$B$27:$H$32, 7, FALSE) * AD69 * 8</f>
        <v>259.2</v>
      </c>
      <c r="AH69">
        <f t="shared" si="16"/>
        <v>1641.6</v>
      </c>
      <c r="AI69">
        <f t="shared" si="15"/>
        <v>10.590967741935483</v>
      </c>
      <c r="AJ69">
        <v>2</v>
      </c>
      <c r="AK69">
        <v>1</v>
      </c>
      <c r="AL69">
        <f>VLOOKUP($AL$6, 'Other Lists'!$B$27:$H$32, 7, FALSE) * AJ69 * 8</f>
        <v>648</v>
      </c>
      <c r="AM69">
        <f>VLOOKUP($AM$6, 'Other Lists'!$B$27:$H$32, 7, FALSE) * AK69 * 8</f>
        <v>324</v>
      </c>
      <c r="AN69">
        <f t="shared" si="18"/>
        <v>2613.6</v>
      </c>
    </row>
    <row r="70" spans="2:40">
      <c r="B70">
        <v>246</v>
      </c>
      <c r="C70" s="15">
        <v>45351</v>
      </c>
      <c r="D70">
        <f t="shared" si="3"/>
        <v>5</v>
      </c>
      <c r="E70">
        <f t="shared" si="19"/>
        <v>9</v>
      </c>
      <c r="F70">
        <v>3</v>
      </c>
      <c r="G70">
        <v>105</v>
      </c>
      <c r="H70">
        <v>134</v>
      </c>
      <c r="I70">
        <v>134</v>
      </c>
      <c r="J70">
        <v>44</v>
      </c>
      <c r="K70">
        <v>162</v>
      </c>
      <c r="L70">
        <v>7</v>
      </c>
      <c r="M70">
        <v>51</v>
      </c>
      <c r="N70">
        <v>172</v>
      </c>
      <c r="O70">
        <f t="shared" si="20"/>
        <v>0</v>
      </c>
      <c r="P70" s="17">
        <f t="shared" si="21"/>
        <v>1.2835820895522387</v>
      </c>
      <c r="Q70" s="18">
        <f>VLOOKUP($G$8, 'Other Lists'!$B$13:$H$15, 7, FALSE)</f>
        <v>184</v>
      </c>
      <c r="R70" s="18">
        <f>VLOOKUP($G$8, 'Other Lists'!$B$13:$F$15, 5, FALSE)</f>
        <v>129</v>
      </c>
      <c r="S70" s="18">
        <f>VLOOKUP($G$8, 'Other Lists'!$B$13:$G$15, 6, FALSE)</f>
        <v>36</v>
      </c>
      <c r="T70" s="18">
        <f t="shared" si="22"/>
        <v>165</v>
      </c>
      <c r="U70" s="18">
        <f>VLOOKUP($G$8, 'Other Lists'!$B$13:$H$15, 7, FALSE) *N70</f>
        <v>31648</v>
      </c>
      <c r="V70" s="18">
        <f t="shared" si="23"/>
        <v>22110</v>
      </c>
      <c r="W70" s="18">
        <f t="shared" si="24"/>
        <v>9538</v>
      </c>
      <c r="X70" s="18">
        <f t="shared" si="25"/>
        <v>-6992</v>
      </c>
      <c r="Y70" s="18">
        <f t="shared" si="26"/>
        <v>66766</v>
      </c>
      <c r="Z70">
        <v>6</v>
      </c>
      <c r="AA70">
        <v>6</v>
      </c>
      <c r="AB70">
        <v>0</v>
      </c>
      <c r="AC70">
        <v>3</v>
      </c>
      <c r="AD70">
        <f t="shared" si="17"/>
        <v>1</v>
      </c>
      <c r="AE70">
        <f>VLOOKUP($AE$6, 'Other Lists'!$B$27:$H$32, 7, FALSE) *AB70*8</f>
        <v>0</v>
      </c>
      <c r="AF70">
        <f>VLOOKUP($AF$6, 'Other Lists'!$B$27:$H$32, 7, FALSE) * AC70 * 8</f>
        <v>842.40000000000009</v>
      </c>
      <c r="AG70">
        <f>VLOOKUP($AG$6, 'Other Lists'!$B$27:$H$32, 7, FALSE) * AD70 * 8</f>
        <v>259.2</v>
      </c>
      <c r="AH70">
        <f t="shared" si="16"/>
        <v>1641.6</v>
      </c>
      <c r="AI70">
        <f t="shared" si="15"/>
        <v>12.250746268656716</v>
      </c>
      <c r="AJ70">
        <v>2</v>
      </c>
      <c r="AK70">
        <v>1</v>
      </c>
      <c r="AL70">
        <f>VLOOKUP($AL$6, 'Other Lists'!$B$27:$H$32, 7, FALSE) * AJ70 * 8</f>
        <v>648</v>
      </c>
      <c r="AM70">
        <f>VLOOKUP($AM$6, 'Other Lists'!$B$27:$H$32, 7, FALSE) * AK70 * 8</f>
        <v>324</v>
      </c>
      <c r="AN70">
        <f t="shared" si="18"/>
        <v>2613.6</v>
      </c>
    </row>
  </sheetData>
  <autoFilter ref="B7:AN70" xr:uid="{106BD433-FA03-D445-9846-3BFA92333FB6}"/>
  <mergeCells count="1">
    <mergeCell ref="A1:J1"/>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3C8F3-3CAD-F343-A1A6-CD7B018D033F}">
  <dimension ref="A1:AN28"/>
  <sheetViews>
    <sheetView workbookViewId="0">
      <selection activeCell="E3" sqref="E3"/>
    </sheetView>
  </sheetViews>
  <sheetFormatPr baseColWidth="10" defaultColWidth="8.83203125" defaultRowHeight="15"/>
  <cols>
    <col min="3" max="3" width="10.5" bestFit="1" customWidth="1"/>
    <col min="4" max="5" width="10.5" customWidth="1"/>
    <col min="9" max="9" width="10.6640625" customWidth="1"/>
    <col min="10" max="10" width="10.83203125" customWidth="1"/>
    <col min="11" max="11" width="9.6640625" customWidth="1"/>
    <col min="12" max="12" width="10.5" customWidth="1"/>
    <col min="13" max="13" width="10" customWidth="1"/>
    <col min="14" max="20" width="9.5" customWidth="1"/>
    <col min="21" max="22" width="8.6640625" bestFit="1" customWidth="1"/>
    <col min="23" max="23" width="7.6640625" customWidth="1"/>
    <col min="24" max="25" width="9.5" customWidth="1"/>
    <col min="26" max="26" width="11.5" customWidth="1"/>
    <col min="27" max="27" width="11.33203125" customWidth="1"/>
  </cols>
  <sheetData>
    <row r="1" spans="1:40">
      <c r="A1" s="51" t="s">
        <v>907</v>
      </c>
      <c r="B1" s="51"/>
      <c r="C1" s="51"/>
      <c r="D1" s="51"/>
      <c r="E1" s="51"/>
      <c r="F1" s="51"/>
      <c r="G1" s="51"/>
      <c r="H1" s="51"/>
      <c r="I1" s="51"/>
      <c r="J1" s="51"/>
    </row>
    <row r="2" spans="1:40">
      <c r="A2" t="s">
        <v>934</v>
      </c>
    </row>
    <row r="3" spans="1:40">
      <c r="A3" t="s">
        <v>933</v>
      </c>
    </row>
    <row r="6" spans="1:40">
      <c r="G6" t="s">
        <v>160</v>
      </c>
      <c r="AE6">
        <v>1</v>
      </c>
      <c r="AF6">
        <v>4</v>
      </c>
      <c r="AG6">
        <v>3</v>
      </c>
      <c r="AL6">
        <v>5</v>
      </c>
      <c r="AM6">
        <v>6</v>
      </c>
    </row>
    <row r="7" spans="1:40" s="7" customFormat="1" ht="65.25" customHeight="1">
      <c r="B7" s="7" t="s">
        <v>161</v>
      </c>
      <c r="C7" s="7" t="s">
        <v>398</v>
      </c>
      <c r="D7" s="7" t="s">
        <v>162</v>
      </c>
      <c r="E7" s="7" t="s">
        <v>833</v>
      </c>
      <c r="F7" s="7" t="s">
        <v>399</v>
      </c>
      <c r="G7" s="7" t="s">
        <v>409</v>
      </c>
      <c r="H7" s="7" t="s">
        <v>401</v>
      </c>
      <c r="I7" s="7" t="s">
        <v>402</v>
      </c>
      <c r="J7" s="7" t="s">
        <v>403</v>
      </c>
      <c r="K7" s="7" t="s">
        <v>404</v>
      </c>
      <c r="L7" s="7" t="s">
        <v>405</v>
      </c>
      <c r="M7" s="7" t="s">
        <v>406</v>
      </c>
      <c r="N7" s="7" t="s">
        <v>407</v>
      </c>
      <c r="O7" s="7" t="s">
        <v>174</v>
      </c>
      <c r="P7" s="7" t="s">
        <v>164</v>
      </c>
      <c r="Q7" s="7" t="s">
        <v>793</v>
      </c>
      <c r="R7" s="7" t="s">
        <v>794</v>
      </c>
      <c r="S7" s="7" t="s">
        <v>795</v>
      </c>
      <c r="T7" s="7" t="s">
        <v>796</v>
      </c>
      <c r="U7" s="7" t="s">
        <v>165</v>
      </c>
      <c r="V7" s="7" t="s">
        <v>166</v>
      </c>
      <c r="W7" s="7" t="s">
        <v>167</v>
      </c>
      <c r="X7" s="7" t="s">
        <v>168</v>
      </c>
      <c r="Y7" s="7" t="s">
        <v>842</v>
      </c>
      <c r="Z7" s="7" t="s">
        <v>408</v>
      </c>
      <c r="AA7" s="7" t="s">
        <v>408</v>
      </c>
      <c r="AB7" s="7" t="s">
        <v>122</v>
      </c>
      <c r="AC7" s="7" t="s">
        <v>126</v>
      </c>
      <c r="AD7" s="7" t="s">
        <v>123</v>
      </c>
      <c r="AE7" s="7" t="s">
        <v>169</v>
      </c>
      <c r="AF7" s="7" t="s">
        <v>170</v>
      </c>
      <c r="AG7" s="7" t="s">
        <v>171</v>
      </c>
      <c r="AH7" s="7" t="s">
        <v>797</v>
      </c>
      <c r="AI7" s="7" t="s">
        <v>173</v>
      </c>
      <c r="AJ7" s="7" t="s">
        <v>108</v>
      </c>
      <c r="AK7" s="7" t="s">
        <v>410</v>
      </c>
      <c r="AL7" s="7" t="s">
        <v>175</v>
      </c>
      <c r="AM7" s="7" t="str">
        <f>AK7&amp; " $"</f>
        <v>Shipper/Receiver/Porter $</v>
      </c>
      <c r="AN7" s="7" t="s">
        <v>176</v>
      </c>
    </row>
    <row r="8" spans="1:40">
      <c r="B8">
        <v>218</v>
      </c>
      <c r="C8" s="15">
        <v>45323</v>
      </c>
      <c r="D8">
        <f t="shared" ref="D8:D28" si="0">WEEKDAY(C8, 1)</f>
        <v>5</v>
      </c>
      <c r="E8">
        <f t="shared" ref="E8:E28" si="1">_xlfn.ISOWEEKNUM(C8)</f>
        <v>5</v>
      </c>
      <c r="F8">
        <v>3</v>
      </c>
      <c r="G8">
        <v>105</v>
      </c>
      <c r="H8">
        <v>165</v>
      </c>
      <c r="I8">
        <v>155</v>
      </c>
      <c r="J8">
        <v>0</v>
      </c>
      <c r="K8">
        <v>162</v>
      </c>
      <c r="L8">
        <v>0</v>
      </c>
      <c r="M8">
        <v>0</v>
      </c>
      <c r="N8">
        <v>148</v>
      </c>
      <c r="O8">
        <f t="shared" ref="O8:O28" si="2">H8-I8</f>
        <v>10</v>
      </c>
      <c r="P8" s="17">
        <f t="shared" ref="P8:P28" si="3">N8/I8</f>
        <v>0.95483870967741935</v>
      </c>
      <c r="Q8" s="18">
        <f>VLOOKUP($G$8, 'Other Lists'!$B$13:$H$15, 7, FALSE)</f>
        <v>184</v>
      </c>
      <c r="R8" s="18">
        <f>VLOOKUP($G$8, 'Other Lists'!$B$13:$F$15, 5, FALSE)</f>
        <v>129</v>
      </c>
      <c r="S8" s="18">
        <f>VLOOKUP($G$8, 'Other Lists'!$B$13:$G$15, 6, FALSE)</f>
        <v>36</v>
      </c>
      <c r="T8" s="18">
        <f t="shared" ref="T8:T28" si="4">R8+S8</f>
        <v>165</v>
      </c>
      <c r="U8" s="18">
        <f>VLOOKUP($G$8, 'Other Lists'!$B$13:$H$15, 7, FALSE) *N8</f>
        <v>27232</v>
      </c>
      <c r="V8" s="18">
        <f t="shared" ref="V8:V28" si="5">T8*I8</f>
        <v>25575</v>
      </c>
      <c r="W8" s="18">
        <f t="shared" ref="W8:W28" si="6">U8-V8</f>
        <v>1657</v>
      </c>
      <c r="X8" s="18">
        <f t="shared" ref="X8:X28" si="7">(I8-N8)*Q8</f>
        <v>1288</v>
      </c>
      <c r="Y8" s="18">
        <f t="shared" ref="Y8:Y28" si="8">L8*W8</f>
        <v>0</v>
      </c>
      <c r="Z8">
        <v>6</v>
      </c>
      <c r="AA8">
        <v>6</v>
      </c>
      <c r="AB8">
        <v>0</v>
      </c>
      <c r="AC8">
        <v>4</v>
      </c>
      <c r="AD8">
        <f t="shared" ref="AD8:AD28" si="9">AA8-AB8-AC8-AJ8</f>
        <v>0</v>
      </c>
      <c r="AE8">
        <f>VLOOKUP($AE$6, 'Other Lists'!$B$27:$H$32, 7, FALSE) *AB8*8</f>
        <v>0</v>
      </c>
      <c r="AF8">
        <f>VLOOKUP($AF$6, 'Other Lists'!$B$27:$H$32, 7, FALSE) * AC8 * 8</f>
        <v>1123.2</v>
      </c>
      <c r="AG8">
        <f>VLOOKUP($AG$6, 'Other Lists'!$B$27:$H$32, 7, FALSE) * AD8 * 8</f>
        <v>0</v>
      </c>
      <c r="AH8" t="e">
        <f>SUM(#REF!)</f>
        <v>#REF!</v>
      </c>
      <c r="AI8" t="e">
        <f t="shared" ref="AI8:AI28" si="10">AH8/I8</f>
        <v>#REF!</v>
      </c>
      <c r="AJ8">
        <v>2</v>
      </c>
      <c r="AK8">
        <v>1</v>
      </c>
      <c r="AL8">
        <f>VLOOKUP($AL$6, 'Other Lists'!$B$27:$H$32, 7, FALSE) * AJ8 * 8</f>
        <v>648</v>
      </c>
      <c r="AM8">
        <f>VLOOKUP($AM$6, 'Other Lists'!$B$27:$H$32, 7, FALSE) * AK8 * 8</f>
        <v>324</v>
      </c>
      <c r="AN8" t="e">
        <f t="shared" ref="AN8:AN28" si="11">SUM(AH8,AL8,AM8)</f>
        <v>#REF!</v>
      </c>
    </row>
    <row r="9" spans="1:40">
      <c r="B9">
        <v>219</v>
      </c>
      <c r="C9" s="15">
        <v>45324</v>
      </c>
      <c r="D9">
        <f t="shared" si="0"/>
        <v>6</v>
      </c>
      <c r="E9">
        <f t="shared" si="1"/>
        <v>5</v>
      </c>
      <c r="F9">
        <v>3</v>
      </c>
      <c r="G9">
        <v>105</v>
      </c>
      <c r="H9">
        <v>163</v>
      </c>
      <c r="I9">
        <v>163</v>
      </c>
      <c r="J9">
        <v>15</v>
      </c>
      <c r="K9">
        <v>162</v>
      </c>
      <c r="L9">
        <v>10</v>
      </c>
      <c r="M9">
        <v>25</v>
      </c>
      <c r="N9">
        <v>174</v>
      </c>
      <c r="O9">
        <f t="shared" si="2"/>
        <v>0</v>
      </c>
      <c r="P9" s="17">
        <f t="shared" si="3"/>
        <v>1.0674846625766872</v>
      </c>
      <c r="Q9" s="18">
        <f>VLOOKUP($G$8, 'Other Lists'!$B$13:$H$15, 7, FALSE)</f>
        <v>184</v>
      </c>
      <c r="R9" s="18">
        <f>VLOOKUP($G$8, 'Other Lists'!$B$13:$F$15, 5, FALSE)</f>
        <v>129</v>
      </c>
      <c r="S9" s="18">
        <f>VLOOKUP($G$8, 'Other Lists'!$B$13:$G$15, 6, FALSE)</f>
        <v>36</v>
      </c>
      <c r="T9" s="18">
        <f t="shared" si="4"/>
        <v>165</v>
      </c>
      <c r="U9" s="18">
        <f>VLOOKUP($G$8, 'Other Lists'!$B$13:$H$15, 7, FALSE) *N9</f>
        <v>32016</v>
      </c>
      <c r="V9" s="18">
        <f t="shared" si="5"/>
        <v>26895</v>
      </c>
      <c r="W9" s="18">
        <f t="shared" si="6"/>
        <v>5121</v>
      </c>
      <c r="X9" s="18">
        <f t="shared" si="7"/>
        <v>-2024</v>
      </c>
      <c r="Y9" s="18">
        <f t="shared" si="8"/>
        <v>51210</v>
      </c>
      <c r="Z9">
        <v>6</v>
      </c>
      <c r="AA9">
        <v>6</v>
      </c>
      <c r="AB9">
        <v>0</v>
      </c>
      <c r="AC9">
        <v>4</v>
      </c>
      <c r="AD9">
        <f t="shared" si="9"/>
        <v>0</v>
      </c>
      <c r="AE9">
        <f>VLOOKUP($AE$6, 'Other Lists'!$B$27:$H$32, 7, FALSE) *AB9*8</f>
        <v>0</v>
      </c>
      <c r="AF9">
        <f>VLOOKUP($AF$6, 'Other Lists'!$B$27:$H$32, 7, FALSE) * AC9 * 8</f>
        <v>1123.2</v>
      </c>
      <c r="AG9">
        <f>VLOOKUP($AG$6, 'Other Lists'!$B$27:$H$32, 7, FALSE) * AD9 * 8</f>
        <v>0</v>
      </c>
      <c r="AH9" t="e">
        <f>SUM(#REF!)</f>
        <v>#REF!</v>
      </c>
      <c r="AI9" t="e">
        <f t="shared" si="10"/>
        <v>#REF!</v>
      </c>
      <c r="AJ9">
        <v>2</v>
      </c>
      <c r="AK9">
        <v>1</v>
      </c>
      <c r="AL9">
        <f>VLOOKUP($AL$6, 'Other Lists'!$B$27:$H$32, 7, FALSE) * AJ9 * 8</f>
        <v>648</v>
      </c>
      <c r="AM9">
        <f>VLOOKUP($AM$6, 'Other Lists'!$B$27:$H$32, 7, FALSE) * AK9 * 8</f>
        <v>324</v>
      </c>
      <c r="AN9" t="e">
        <f t="shared" si="11"/>
        <v>#REF!</v>
      </c>
    </row>
    <row r="10" spans="1:40">
      <c r="B10">
        <v>220</v>
      </c>
      <c r="C10" s="15">
        <v>45325</v>
      </c>
      <c r="D10">
        <f t="shared" si="0"/>
        <v>7</v>
      </c>
      <c r="E10">
        <f t="shared" si="1"/>
        <v>5</v>
      </c>
      <c r="F10">
        <v>3</v>
      </c>
      <c r="G10">
        <v>105</v>
      </c>
      <c r="H10">
        <v>194</v>
      </c>
      <c r="I10">
        <v>157</v>
      </c>
      <c r="J10">
        <v>21</v>
      </c>
      <c r="K10">
        <v>162</v>
      </c>
      <c r="L10">
        <v>20</v>
      </c>
      <c r="M10">
        <v>41</v>
      </c>
      <c r="N10">
        <v>174</v>
      </c>
      <c r="O10">
        <f t="shared" si="2"/>
        <v>37</v>
      </c>
      <c r="P10" s="17">
        <f t="shared" si="3"/>
        <v>1.10828025477707</v>
      </c>
      <c r="Q10" s="18">
        <f>VLOOKUP($G$8, 'Other Lists'!$B$13:$H$15, 7, FALSE)</f>
        <v>184</v>
      </c>
      <c r="R10" s="18">
        <f>VLOOKUP($G$8, 'Other Lists'!$B$13:$F$15, 5, FALSE)</f>
        <v>129</v>
      </c>
      <c r="S10" s="18">
        <f>VLOOKUP($G$8, 'Other Lists'!$B$13:$G$15, 6, FALSE)</f>
        <v>36</v>
      </c>
      <c r="T10" s="18">
        <f t="shared" si="4"/>
        <v>165</v>
      </c>
      <c r="U10" s="18">
        <f>VLOOKUP($G$8, 'Other Lists'!$B$13:$H$15, 7, FALSE) *N10</f>
        <v>32016</v>
      </c>
      <c r="V10" s="18">
        <f t="shared" si="5"/>
        <v>25905</v>
      </c>
      <c r="W10" s="18">
        <f t="shared" si="6"/>
        <v>6111</v>
      </c>
      <c r="X10" s="18">
        <f t="shared" si="7"/>
        <v>-3128</v>
      </c>
      <c r="Y10" s="18">
        <f t="shared" si="8"/>
        <v>122220</v>
      </c>
      <c r="Z10">
        <v>6</v>
      </c>
      <c r="AA10">
        <v>6</v>
      </c>
      <c r="AB10">
        <v>0</v>
      </c>
      <c r="AC10">
        <v>4</v>
      </c>
      <c r="AD10">
        <f t="shared" si="9"/>
        <v>0</v>
      </c>
      <c r="AE10">
        <f>VLOOKUP($AE$6, 'Other Lists'!$B$27:$H$32, 7, FALSE) *AB10*8</f>
        <v>0</v>
      </c>
      <c r="AF10">
        <f>VLOOKUP($AF$6, 'Other Lists'!$B$27:$H$32, 7, FALSE) * AC10 * 8</f>
        <v>1123.2</v>
      </c>
      <c r="AG10">
        <f>VLOOKUP($AG$6, 'Other Lists'!$B$27:$H$32, 7, FALSE) * AD10 * 8</f>
        <v>0</v>
      </c>
      <c r="AH10" t="e">
        <f>SUM(#REF!)</f>
        <v>#REF!</v>
      </c>
      <c r="AI10" t="e">
        <f t="shared" si="10"/>
        <v>#REF!</v>
      </c>
      <c r="AJ10">
        <v>2</v>
      </c>
      <c r="AK10">
        <v>1</v>
      </c>
      <c r="AL10">
        <f>VLOOKUP($AL$6, 'Other Lists'!$B$27:$H$32, 7, FALSE) * AJ10 * 8</f>
        <v>648</v>
      </c>
      <c r="AM10">
        <f>VLOOKUP($AM$6, 'Other Lists'!$B$27:$H$32, 7, FALSE) * AK10 * 8</f>
        <v>324</v>
      </c>
      <c r="AN10" t="e">
        <f t="shared" si="11"/>
        <v>#REF!</v>
      </c>
    </row>
    <row r="11" spans="1:40">
      <c r="B11">
        <v>223</v>
      </c>
      <c r="C11" s="15">
        <v>45328</v>
      </c>
      <c r="D11">
        <f t="shared" si="0"/>
        <v>3</v>
      </c>
      <c r="E11">
        <f t="shared" si="1"/>
        <v>6</v>
      </c>
      <c r="F11">
        <v>3</v>
      </c>
      <c r="G11">
        <v>105</v>
      </c>
      <c r="H11">
        <v>152</v>
      </c>
      <c r="I11">
        <v>152</v>
      </c>
      <c r="J11">
        <v>0</v>
      </c>
      <c r="K11">
        <v>162</v>
      </c>
      <c r="L11">
        <v>0</v>
      </c>
      <c r="M11">
        <v>0</v>
      </c>
      <c r="N11">
        <v>148</v>
      </c>
      <c r="O11">
        <f t="shared" si="2"/>
        <v>0</v>
      </c>
      <c r="P11" s="17">
        <f t="shared" si="3"/>
        <v>0.97368421052631582</v>
      </c>
      <c r="Q11" s="18">
        <f>VLOOKUP($G$8, 'Other Lists'!$B$13:$H$15, 7, FALSE)</f>
        <v>184</v>
      </c>
      <c r="R11" s="18">
        <f>VLOOKUP($G$8, 'Other Lists'!$B$13:$F$15, 5, FALSE)</f>
        <v>129</v>
      </c>
      <c r="S11" s="18">
        <f>VLOOKUP($G$8, 'Other Lists'!$B$13:$G$15, 6, FALSE)</f>
        <v>36</v>
      </c>
      <c r="T11" s="18">
        <f t="shared" si="4"/>
        <v>165</v>
      </c>
      <c r="U11" s="18">
        <f>VLOOKUP($G$8, 'Other Lists'!$B$13:$H$15, 7, FALSE) *N11</f>
        <v>27232</v>
      </c>
      <c r="V11" s="18">
        <f t="shared" si="5"/>
        <v>25080</v>
      </c>
      <c r="W11" s="18">
        <f t="shared" si="6"/>
        <v>2152</v>
      </c>
      <c r="X11" s="18">
        <f t="shared" si="7"/>
        <v>736</v>
      </c>
      <c r="Y11" s="18">
        <f t="shared" si="8"/>
        <v>0</v>
      </c>
      <c r="Z11">
        <v>6</v>
      </c>
      <c r="AA11">
        <v>6</v>
      </c>
      <c r="AB11">
        <v>0</v>
      </c>
      <c r="AC11">
        <v>3</v>
      </c>
      <c r="AD11">
        <f t="shared" si="9"/>
        <v>1</v>
      </c>
      <c r="AE11">
        <f>VLOOKUP($AE$6, 'Other Lists'!$B$27:$H$32, 7, FALSE) *AB11*8</f>
        <v>0</v>
      </c>
      <c r="AF11">
        <f>VLOOKUP($AF$6, 'Other Lists'!$B$27:$H$32, 7, FALSE) * AC11 * 8</f>
        <v>842.40000000000009</v>
      </c>
      <c r="AG11">
        <f>VLOOKUP($AG$6, 'Other Lists'!$B$27:$H$32, 7, FALSE) * AD11 * 8</f>
        <v>259.2</v>
      </c>
      <c r="AH11" t="e">
        <f>SUM(#REF!)</f>
        <v>#REF!</v>
      </c>
      <c r="AI11" t="e">
        <f t="shared" si="10"/>
        <v>#REF!</v>
      </c>
      <c r="AJ11">
        <v>2</v>
      </c>
      <c r="AK11">
        <v>1</v>
      </c>
      <c r="AL11">
        <f>VLOOKUP($AL$6, 'Other Lists'!$B$27:$H$32, 7, FALSE) * AJ11 * 8</f>
        <v>648</v>
      </c>
      <c r="AM11">
        <f>VLOOKUP($AM$6, 'Other Lists'!$B$27:$H$32, 7, FALSE) * AK11 * 8</f>
        <v>324</v>
      </c>
      <c r="AN11" t="e">
        <f t="shared" si="11"/>
        <v>#REF!</v>
      </c>
    </row>
    <row r="12" spans="1:40">
      <c r="B12">
        <v>224</v>
      </c>
      <c r="C12" s="15">
        <v>45329</v>
      </c>
      <c r="D12">
        <f t="shared" si="0"/>
        <v>4</v>
      </c>
      <c r="E12">
        <f t="shared" si="1"/>
        <v>6</v>
      </c>
      <c r="F12">
        <v>3</v>
      </c>
      <c r="G12">
        <v>105</v>
      </c>
      <c r="H12">
        <v>173</v>
      </c>
      <c r="I12">
        <v>160</v>
      </c>
      <c r="J12">
        <v>18</v>
      </c>
      <c r="K12">
        <v>162</v>
      </c>
      <c r="L12">
        <v>53</v>
      </c>
      <c r="M12">
        <v>71</v>
      </c>
      <c r="N12">
        <v>174</v>
      </c>
      <c r="O12">
        <f t="shared" si="2"/>
        <v>13</v>
      </c>
      <c r="P12" s="17">
        <f t="shared" si="3"/>
        <v>1.0874999999999999</v>
      </c>
      <c r="Q12" s="18">
        <f>VLOOKUP($G$8, 'Other Lists'!$B$13:$H$15, 7, FALSE)</f>
        <v>184</v>
      </c>
      <c r="R12" s="18">
        <f>VLOOKUP($G$8, 'Other Lists'!$B$13:$F$15, 5, FALSE)</f>
        <v>129</v>
      </c>
      <c r="S12" s="18">
        <f>VLOOKUP($G$8, 'Other Lists'!$B$13:$G$15, 6, FALSE)</f>
        <v>36</v>
      </c>
      <c r="T12" s="18">
        <f t="shared" si="4"/>
        <v>165</v>
      </c>
      <c r="U12" s="18">
        <f>VLOOKUP($G$8, 'Other Lists'!$B$13:$H$15, 7, FALSE) *N12</f>
        <v>32016</v>
      </c>
      <c r="V12" s="18">
        <f t="shared" si="5"/>
        <v>26400</v>
      </c>
      <c r="W12" s="18">
        <f t="shared" si="6"/>
        <v>5616</v>
      </c>
      <c r="X12" s="18">
        <f t="shared" si="7"/>
        <v>-2576</v>
      </c>
      <c r="Y12" s="18">
        <f t="shared" si="8"/>
        <v>297648</v>
      </c>
      <c r="Z12">
        <v>6</v>
      </c>
      <c r="AA12">
        <v>6</v>
      </c>
      <c r="AB12">
        <v>0</v>
      </c>
      <c r="AC12">
        <v>4</v>
      </c>
      <c r="AD12">
        <f t="shared" si="9"/>
        <v>0</v>
      </c>
      <c r="AE12">
        <f>VLOOKUP($AE$6, 'Other Lists'!$B$27:$H$32, 7, FALSE) *AB12*8</f>
        <v>0</v>
      </c>
      <c r="AF12">
        <f>VLOOKUP($AF$6, 'Other Lists'!$B$27:$H$32, 7, FALSE) * AC12 * 8</f>
        <v>1123.2</v>
      </c>
      <c r="AG12">
        <f>VLOOKUP($AG$6, 'Other Lists'!$B$27:$H$32, 7, FALSE) * AD12 * 8</f>
        <v>0</v>
      </c>
      <c r="AH12" t="e">
        <f>SUM(#REF!)</f>
        <v>#REF!</v>
      </c>
      <c r="AI12" t="e">
        <f t="shared" si="10"/>
        <v>#REF!</v>
      </c>
      <c r="AJ12">
        <v>2</v>
      </c>
      <c r="AK12">
        <v>1</v>
      </c>
      <c r="AL12">
        <f>VLOOKUP($AL$6, 'Other Lists'!$B$27:$H$32, 7, FALSE) * AJ12 * 8</f>
        <v>648</v>
      </c>
      <c r="AM12">
        <f>VLOOKUP($AM$6, 'Other Lists'!$B$27:$H$32, 7, FALSE) * AK12 * 8</f>
        <v>324</v>
      </c>
      <c r="AN12" t="e">
        <f t="shared" si="11"/>
        <v>#REF!</v>
      </c>
    </row>
    <row r="13" spans="1:40">
      <c r="B13">
        <v>225</v>
      </c>
      <c r="C13" s="15">
        <v>45330</v>
      </c>
      <c r="D13">
        <f t="shared" si="0"/>
        <v>5</v>
      </c>
      <c r="E13">
        <f t="shared" si="1"/>
        <v>6</v>
      </c>
      <c r="F13">
        <v>3</v>
      </c>
      <c r="G13">
        <v>105</v>
      </c>
      <c r="H13">
        <v>183</v>
      </c>
      <c r="I13">
        <v>158</v>
      </c>
      <c r="J13">
        <v>20</v>
      </c>
      <c r="K13">
        <v>162</v>
      </c>
      <c r="L13">
        <v>16</v>
      </c>
      <c r="M13">
        <v>36</v>
      </c>
      <c r="N13">
        <v>172</v>
      </c>
      <c r="O13">
        <f t="shared" si="2"/>
        <v>25</v>
      </c>
      <c r="P13" s="17">
        <f t="shared" si="3"/>
        <v>1.0886075949367089</v>
      </c>
      <c r="Q13" s="18">
        <f>VLOOKUP($G$8, 'Other Lists'!$B$13:$H$15, 7, FALSE)</f>
        <v>184</v>
      </c>
      <c r="R13" s="18">
        <f>VLOOKUP($G$8, 'Other Lists'!$B$13:$F$15, 5, FALSE)</f>
        <v>129</v>
      </c>
      <c r="S13" s="18">
        <f>VLOOKUP($G$8, 'Other Lists'!$B$13:$G$15, 6, FALSE)</f>
        <v>36</v>
      </c>
      <c r="T13" s="18">
        <f t="shared" si="4"/>
        <v>165</v>
      </c>
      <c r="U13" s="18">
        <f>VLOOKUP($G$8, 'Other Lists'!$B$13:$H$15, 7, FALSE) *N13</f>
        <v>31648</v>
      </c>
      <c r="V13" s="18">
        <f t="shared" si="5"/>
        <v>26070</v>
      </c>
      <c r="W13" s="18">
        <f t="shared" si="6"/>
        <v>5578</v>
      </c>
      <c r="X13" s="18">
        <f t="shared" si="7"/>
        <v>-2576</v>
      </c>
      <c r="Y13" s="18">
        <f t="shared" si="8"/>
        <v>89248</v>
      </c>
      <c r="Z13">
        <v>6</v>
      </c>
      <c r="AA13">
        <v>6</v>
      </c>
      <c r="AB13">
        <v>0</v>
      </c>
      <c r="AC13">
        <v>4</v>
      </c>
      <c r="AD13">
        <f t="shared" si="9"/>
        <v>0</v>
      </c>
      <c r="AE13">
        <f>VLOOKUP($AE$6, 'Other Lists'!$B$27:$H$32, 7, FALSE) *AB13*8</f>
        <v>0</v>
      </c>
      <c r="AF13">
        <f>VLOOKUP($AF$6, 'Other Lists'!$B$27:$H$32, 7, FALSE) * AC13 * 8</f>
        <v>1123.2</v>
      </c>
      <c r="AG13">
        <f>VLOOKUP($AG$6, 'Other Lists'!$B$27:$H$32, 7, FALSE) * AD13 * 8</f>
        <v>0</v>
      </c>
      <c r="AH13" t="e">
        <f>SUM(#REF!)</f>
        <v>#REF!</v>
      </c>
      <c r="AI13" t="e">
        <f t="shared" si="10"/>
        <v>#REF!</v>
      </c>
      <c r="AJ13">
        <v>2</v>
      </c>
      <c r="AK13">
        <v>1</v>
      </c>
      <c r="AL13">
        <f>VLOOKUP($AL$6, 'Other Lists'!$B$27:$H$32, 7, FALSE) * AJ13 * 8</f>
        <v>648</v>
      </c>
      <c r="AM13">
        <f>VLOOKUP($AM$6, 'Other Lists'!$B$27:$H$32, 7, FALSE) * AK13 * 8</f>
        <v>324</v>
      </c>
      <c r="AN13" t="e">
        <f t="shared" si="11"/>
        <v>#REF!</v>
      </c>
    </row>
    <row r="14" spans="1:40">
      <c r="B14">
        <v>226</v>
      </c>
      <c r="C14" s="15">
        <v>45331</v>
      </c>
      <c r="D14">
        <f t="shared" si="0"/>
        <v>6</v>
      </c>
      <c r="E14">
        <f t="shared" si="1"/>
        <v>6</v>
      </c>
      <c r="F14">
        <v>3</v>
      </c>
      <c r="G14">
        <v>105</v>
      </c>
      <c r="H14">
        <v>176</v>
      </c>
      <c r="I14">
        <v>153</v>
      </c>
      <c r="J14">
        <v>25</v>
      </c>
      <c r="K14">
        <v>162</v>
      </c>
      <c r="L14">
        <v>8</v>
      </c>
      <c r="M14">
        <v>33</v>
      </c>
      <c r="N14">
        <v>174</v>
      </c>
      <c r="O14">
        <f t="shared" si="2"/>
        <v>23</v>
      </c>
      <c r="P14" s="17">
        <f t="shared" si="3"/>
        <v>1.1372549019607843</v>
      </c>
      <c r="Q14" s="18">
        <f>VLOOKUP($G$8, 'Other Lists'!$B$13:$H$15, 7, FALSE)</f>
        <v>184</v>
      </c>
      <c r="R14" s="18">
        <f>VLOOKUP($G$8, 'Other Lists'!$B$13:$F$15, 5, FALSE)</f>
        <v>129</v>
      </c>
      <c r="S14" s="18">
        <f>VLOOKUP($G$8, 'Other Lists'!$B$13:$G$15, 6, FALSE)</f>
        <v>36</v>
      </c>
      <c r="T14" s="18">
        <f t="shared" si="4"/>
        <v>165</v>
      </c>
      <c r="U14" s="18">
        <f>VLOOKUP($G$8, 'Other Lists'!$B$13:$H$15, 7, FALSE) *N14</f>
        <v>32016</v>
      </c>
      <c r="V14" s="18">
        <f t="shared" si="5"/>
        <v>25245</v>
      </c>
      <c r="W14" s="18">
        <f t="shared" si="6"/>
        <v>6771</v>
      </c>
      <c r="X14" s="18">
        <f t="shared" si="7"/>
        <v>-3864</v>
      </c>
      <c r="Y14" s="18">
        <f t="shared" si="8"/>
        <v>54168</v>
      </c>
      <c r="Z14">
        <v>6</v>
      </c>
      <c r="AA14">
        <v>6</v>
      </c>
      <c r="AB14">
        <v>0</v>
      </c>
      <c r="AC14">
        <v>4</v>
      </c>
      <c r="AD14">
        <f t="shared" si="9"/>
        <v>0</v>
      </c>
      <c r="AE14">
        <f>VLOOKUP($AE$6, 'Other Lists'!$B$27:$H$32, 7, FALSE) *AB14*8</f>
        <v>0</v>
      </c>
      <c r="AF14">
        <f>VLOOKUP($AF$6, 'Other Lists'!$B$27:$H$32, 7, FALSE) * AC14 * 8</f>
        <v>1123.2</v>
      </c>
      <c r="AG14">
        <f>VLOOKUP($AG$6, 'Other Lists'!$B$27:$H$32, 7, FALSE) * AD14 * 8</f>
        <v>0</v>
      </c>
      <c r="AH14" t="e">
        <f>SUM(#REF!)</f>
        <v>#REF!</v>
      </c>
      <c r="AI14" t="e">
        <f t="shared" si="10"/>
        <v>#REF!</v>
      </c>
      <c r="AJ14">
        <v>2</v>
      </c>
      <c r="AK14">
        <v>1</v>
      </c>
      <c r="AL14">
        <f>VLOOKUP($AL$6, 'Other Lists'!$B$27:$H$32, 7, FALSE) * AJ14 * 8</f>
        <v>648</v>
      </c>
      <c r="AM14">
        <f>VLOOKUP($AM$6, 'Other Lists'!$B$27:$H$32, 7, FALSE) * AK14 * 8</f>
        <v>324</v>
      </c>
      <c r="AN14" t="e">
        <f t="shared" si="11"/>
        <v>#REF!</v>
      </c>
    </row>
    <row r="15" spans="1:40">
      <c r="B15">
        <v>227</v>
      </c>
      <c r="C15" s="15">
        <v>45332</v>
      </c>
      <c r="D15">
        <f t="shared" si="0"/>
        <v>7</v>
      </c>
      <c r="E15">
        <f t="shared" si="1"/>
        <v>6</v>
      </c>
      <c r="F15">
        <v>3</v>
      </c>
      <c r="G15">
        <v>105</v>
      </c>
      <c r="H15">
        <v>171</v>
      </c>
      <c r="I15">
        <v>133</v>
      </c>
      <c r="J15">
        <v>24</v>
      </c>
      <c r="K15">
        <v>162</v>
      </c>
      <c r="L15">
        <v>0</v>
      </c>
      <c r="M15">
        <v>24</v>
      </c>
      <c r="N15">
        <v>147</v>
      </c>
      <c r="O15">
        <f t="shared" si="2"/>
        <v>38</v>
      </c>
      <c r="P15" s="17">
        <f t="shared" si="3"/>
        <v>1.1052631578947369</v>
      </c>
      <c r="Q15" s="18">
        <f>VLOOKUP($G$8, 'Other Lists'!$B$13:$H$15, 7, FALSE)</f>
        <v>184</v>
      </c>
      <c r="R15" s="18">
        <f>VLOOKUP($G$8, 'Other Lists'!$B$13:$F$15, 5, FALSE)</f>
        <v>129</v>
      </c>
      <c r="S15" s="18">
        <f>VLOOKUP($G$8, 'Other Lists'!$B$13:$G$15, 6, FALSE)</f>
        <v>36</v>
      </c>
      <c r="T15" s="18">
        <f t="shared" si="4"/>
        <v>165</v>
      </c>
      <c r="U15" s="18">
        <f>VLOOKUP($G$8, 'Other Lists'!$B$13:$H$15, 7, FALSE) *N15</f>
        <v>27048</v>
      </c>
      <c r="V15" s="18">
        <f t="shared" si="5"/>
        <v>21945</v>
      </c>
      <c r="W15" s="18">
        <f t="shared" si="6"/>
        <v>5103</v>
      </c>
      <c r="X15" s="18">
        <f t="shared" si="7"/>
        <v>-2576</v>
      </c>
      <c r="Y15" s="18">
        <f t="shared" si="8"/>
        <v>0</v>
      </c>
      <c r="Z15">
        <v>6</v>
      </c>
      <c r="AA15">
        <v>5</v>
      </c>
      <c r="AB15">
        <v>0</v>
      </c>
      <c r="AC15">
        <v>3</v>
      </c>
      <c r="AD15">
        <f t="shared" si="9"/>
        <v>0</v>
      </c>
      <c r="AE15">
        <f>VLOOKUP($AE$6, 'Other Lists'!$B$27:$H$32, 7, FALSE) *AB15*8</f>
        <v>0</v>
      </c>
      <c r="AF15">
        <f>VLOOKUP($AF$6, 'Other Lists'!$B$27:$H$32, 7, FALSE) * AC15 * 8</f>
        <v>842.40000000000009</v>
      </c>
      <c r="AG15">
        <f>VLOOKUP($AG$6, 'Other Lists'!$B$27:$H$32, 7, FALSE) * AD15 * 8</f>
        <v>0</v>
      </c>
      <c r="AH15" t="e">
        <f>SUM(#REF!)</f>
        <v>#REF!</v>
      </c>
      <c r="AI15" t="e">
        <f t="shared" si="10"/>
        <v>#REF!</v>
      </c>
      <c r="AJ15">
        <v>2</v>
      </c>
      <c r="AK15">
        <v>1</v>
      </c>
      <c r="AL15">
        <f>VLOOKUP($AL$6, 'Other Lists'!$B$27:$H$32, 7, FALSE) * AJ15 * 8</f>
        <v>648</v>
      </c>
      <c r="AM15">
        <f>VLOOKUP($AM$6, 'Other Lists'!$B$27:$H$32, 7, FALSE) * AK15 * 8</f>
        <v>324</v>
      </c>
      <c r="AN15" t="e">
        <f t="shared" si="11"/>
        <v>#REF!</v>
      </c>
    </row>
    <row r="16" spans="1:40">
      <c r="B16">
        <v>230</v>
      </c>
      <c r="C16" s="15">
        <v>45335</v>
      </c>
      <c r="D16">
        <f t="shared" si="0"/>
        <v>3</v>
      </c>
      <c r="E16">
        <f t="shared" si="1"/>
        <v>7</v>
      </c>
      <c r="F16">
        <v>3</v>
      </c>
      <c r="G16">
        <v>105</v>
      </c>
      <c r="H16">
        <v>153</v>
      </c>
      <c r="I16">
        <v>153</v>
      </c>
      <c r="J16">
        <v>2</v>
      </c>
      <c r="K16">
        <v>162</v>
      </c>
      <c r="L16">
        <v>0</v>
      </c>
      <c r="M16">
        <v>2</v>
      </c>
      <c r="N16">
        <v>151</v>
      </c>
      <c r="O16">
        <f t="shared" si="2"/>
        <v>0</v>
      </c>
      <c r="P16" s="17">
        <f t="shared" si="3"/>
        <v>0.98692810457516345</v>
      </c>
      <c r="Q16" s="18">
        <f>VLOOKUP($G$8, 'Other Lists'!$B$13:$H$15, 7, FALSE)</f>
        <v>184</v>
      </c>
      <c r="R16" s="18">
        <f>VLOOKUP($G$8, 'Other Lists'!$B$13:$F$15, 5, FALSE)</f>
        <v>129</v>
      </c>
      <c r="S16" s="18">
        <f>VLOOKUP($G$8, 'Other Lists'!$B$13:$G$15, 6, FALSE)</f>
        <v>36</v>
      </c>
      <c r="T16" s="18">
        <f t="shared" si="4"/>
        <v>165</v>
      </c>
      <c r="U16" s="18">
        <f>VLOOKUP($G$8, 'Other Lists'!$B$13:$H$15, 7, FALSE) *N16</f>
        <v>27784</v>
      </c>
      <c r="V16" s="18">
        <f t="shared" si="5"/>
        <v>25245</v>
      </c>
      <c r="W16" s="18">
        <f t="shared" si="6"/>
        <v>2539</v>
      </c>
      <c r="X16" s="18">
        <f t="shared" si="7"/>
        <v>368</v>
      </c>
      <c r="Y16" s="18">
        <f t="shared" si="8"/>
        <v>0</v>
      </c>
      <c r="Z16">
        <v>6</v>
      </c>
      <c r="AA16">
        <v>6</v>
      </c>
      <c r="AB16">
        <v>0</v>
      </c>
      <c r="AC16">
        <v>3</v>
      </c>
      <c r="AD16">
        <f t="shared" si="9"/>
        <v>1</v>
      </c>
      <c r="AE16">
        <f>VLOOKUP($AE$6, 'Other Lists'!$B$27:$H$32, 7, FALSE) *AB16*8</f>
        <v>0</v>
      </c>
      <c r="AF16">
        <f>VLOOKUP($AF$6, 'Other Lists'!$B$27:$H$32, 7, FALSE) * AC16 * 8</f>
        <v>842.40000000000009</v>
      </c>
      <c r="AG16">
        <f>VLOOKUP($AG$6, 'Other Lists'!$B$27:$H$32, 7, FALSE) * AD16 * 8</f>
        <v>259.2</v>
      </c>
      <c r="AH16" t="e">
        <f>SUM(#REF!)</f>
        <v>#REF!</v>
      </c>
      <c r="AI16" t="e">
        <f t="shared" si="10"/>
        <v>#REF!</v>
      </c>
      <c r="AJ16">
        <v>2</v>
      </c>
      <c r="AK16">
        <v>1</v>
      </c>
      <c r="AL16">
        <f>VLOOKUP($AL$6, 'Other Lists'!$B$27:$H$32, 7, FALSE) * AJ16 * 8</f>
        <v>648</v>
      </c>
      <c r="AM16">
        <f>VLOOKUP($AM$6, 'Other Lists'!$B$27:$H$32, 7, FALSE) * AK16 * 8</f>
        <v>324</v>
      </c>
      <c r="AN16" t="e">
        <f t="shared" si="11"/>
        <v>#REF!</v>
      </c>
    </row>
    <row r="17" spans="2:40">
      <c r="B17">
        <v>231</v>
      </c>
      <c r="C17" s="15">
        <v>45336</v>
      </c>
      <c r="D17">
        <f t="shared" si="0"/>
        <v>4</v>
      </c>
      <c r="E17">
        <f t="shared" si="1"/>
        <v>7</v>
      </c>
      <c r="F17">
        <v>3</v>
      </c>
      <c r="G17">
        <v>105</v>
      </c>
      <c r="H17">
        <v>153</v>
      </c>
      <c r="I17">
        <v>153</v>
      </c>
      <c r="J17">
        <v>25</v>
      </c>
      <c r="K17">
        <v>162</v>
      </c>
      <c r="L17">
        <v>4</v>
      </c>
      <c r="M17">
        <v>29</v>
      </c>
      <c r="N17">
        <v>165</v>
      </c>
      <c r="O17">
        <f t="shared" si="2"/>
        <v>0</v>
      </c>
      <c r="P17" s="17">
        <f t="shared" si="3"/>
        <v>1.0784313725490196</v>
      </c>
      <c r="Q17" s="18">
        <f>VLOOKUP($G$8, 'Other Lists'!$B$13:$H$15, 7, FALSE)</f>
        <v>184</v>
      </c>
      <c r="R17" s="18">
        <f>VLOOKUP($G$8, 'Other Lists'!$B$13:$F$15, 5, FALSE)</f>
        <v>129</v>
      </c>
      <c r="S17" s="18">
        <f>VLOOKUP($G$8, 'Other Lists'!$B$13:$G$15, 6, FALSE)</f>
        <v>36</v>
      </c>
      <c r="T17" s="18">
        <f t="shared" si="4"/>
        <v>165</v>
      </c>
      <c r="U17" s="18">
        <f>VLOOKUP($G$8, 'Other Lists'!$B$13:$H$15, 7, FALSE) *N17</f>
        <v>30360</v>
      </c>
      <c r="V17" s="18">
        <f t="shared" si="5"/>
        <v>25245</v>
      </c>
      <c r="W17" s="18">
        <f t="shared" si="6"/>
        <v>5115</v>
      </c>
      <c r="X17" s="18">
        <f t="shared" si="7"/>
        <v>-2208</v>
      </c>
      <c r="Y17" s="18">
        <f t="shared" si="8"/>
        <v>20460</v>
      </c>
      <c r="Z17">
        <v>6</v>
      </c>
      <c r="AA17">
        <v>6</v>
      </c>
      <c r="AB17">
        <v>0</v>
      </c>
      <c r="AC17">
        <v>3</v>
      </c>
      <c r="AD17">
        <f t="shared" si="9"/>
        <v>1</v>
      </c>
      <c r="AE17">
        <f>VLOOKUP($AE$6, 'Other Lists'!$B$27:$H$32, 7, FALSE) *AB17*8</f>
        <v>0</v>
      </c>
      <c r="AF17">
        <f>VLOOKUP($AF$6, 'Other Lists'!$B$27:$H$32, 7, FALSE) * AC17 * 8</f>
        <v>842.40000000000009</v>
      </c>
      <c r="AG17">
        <f>VLOOKUP($AG$6, 'Other Lists'!$B$27:$H$32, 7, FALSE) * AD17 * 8</f>
        <v>259.2</v>
      </c>
      <c r="AH17" t="e">
        <f>SUM(#REF!)</f>
        <v>#REF!</v>
      </c>
      <c r="AI17" t="e">
        <f t="shared" si="10"/>
        <v>#REF!</v>
      </c>
      <c r="AJ17">
        <v>2</v>
      </c>
      <c r="AK17">
        <v>1</v>
      </c>
      <c r="AL17">
        <f>VLOOKUP($AL$6, 'Other Lists'!$B$27:$H$32, 7, FALSE) * AJ17 * 8</f>
        <v>648</v>
      </c>
      <c r="AM17">
        <f>VLOOKUP($AM$6, 'Other Lists'!$B$27:$H$32, 7, FALSE) * AK17 * 8</f>
        <v>324</v>
      </c>
      <c r="AN17" t="e">
        <f t="shared" si="11"/>
        <v>#REF!</v>
      </c>
    </row>
    <row r="18" spans="2:40">
      <c r="B18">
        <v>232</v>
      </c>
      <c r="C18" s="15">
        <v>45337</v>
      </c>
      <c r="D18">
        <f t="shared" si="0"/>
        <v>5</v>
      </c>
      <c r="E18">
        <f t="shared" si="1"/>
        <v>7</v>
      </c>
      <c r="F18">
        <v>3</v>
      </c>
      <c r="G18">
        <v>105</v>
      </c>
      <c r="H18">
        <v>162</v>
      </c>
      <c r="I18">
        <v>155</v>
      </c>
      <c r="J18">
        <v>0</v>
      </c>
      <c r="K18">
        <v>162</v>
      </c>
      <c r="L18">
        <v>0</v>
      </c>
      <c r="M18">
        <v>0</v>
      </c>
      <c r="N18">
        <v>150</v>
      </c>
      <c r="O18">
        <f t="shared" si="2"/>
        <v>7</v>
      </c>
      <c r="P18" s="17">
        <f t="shared" si="3"/>
        <v>0.967741935483871</v>
      </c>
      <c r="Q18" s="18">
        <f>VLOOKUP($G$8, 'Other Lists'!$B$13:$H$15, 7, FALSE)</f>
        <v>184</v>
      </c>
      <c r="R18" s="18">
        <f>VLOOKUP($G$8, 'Other Lists'!$B$13:$F$15, 5, FALSE)</f>
        <v>129</v>
      </c>
      <c r="S18" s="18">
        <f>VLOOKUP($G$8, 'Other Lists'!$B$13:$G$15, 6, FALSE)</f>
        <v>36</v>
      </c>
      <c r="T18" s="18">
        <f t="shared" si="4"/>
        <v>165</v>
      </c>
      <c r="U18" s="18">
        <f>VLOOKUP($G$8, 'Other Lists'!$B$13:$H$15, 7, FALSE) *N18</f>
        <v>27600</v>
      </c>
      <c r="V18" s="18">
        <f t="shared" si="5"/>
        <v>25575</v>
      </c>
      <c r="W18" s="18">
        <f t="shared" si="6"/>
        <v>2025</v>
      </c>
      <c r="X18" s="18">
        <f t="shared" si="7"/>
        <v>920</v>
      </c>
      <c r="Y18" s="18">
        <f t="shared" si="8"/>
        <v>0</v>
      </c>
      <c r="Z18">
        <v>6</v>
      </c>
      <c r="AA18">
        <v>6</v>
      </c>
      <c r="AB18">
        <v>0</v>
      </c>
      <c r="AC18">
        <v>4</v>
      </c>
      <c r="AD18">
        <f t="shared" si="9"/>
        <v>0</v>
      </c>
      <c r="AE18">
        <f>VLOOKUP($AE$6, 'Other Lists'!$B$27:$H$32, 7, FALSE) *AB18*8</f>
        <v>0</v>
      </c>
      <c r="AF18">
        <f>VLOOKUP($AF$6, 'Other Lists'!$B$27:$H$32, 7, FALSE) * AC18 * 8</f>
        <v>1123.2</v>
      </c>
      <c r="AG18">
        <f>VLOOKUP($AG$6, 'Other Lists'!$B$27:$H$32, 7, FALSE) * AD18 * 8</f>
        <v>0</v>
      </c>
      <c r="AH18" t="e">
        <f>SUM(#REF!)</f>
        <v>#REF!</v>
      </c>
      <c r="AI18" t="e">
        <f t="shared" si="10"/>
        <v>#REF!</v>
      </c>
      <c r="AJ18">
        <v>2</v>
      </c>
      <c r="AK18">
        <v>1</v>
      </c>
      <c r="AL18">
        <f>VLOOKUP($AL$6, 'Other Lists'!$B$27:$H$32, 7, FALSE) * AJ18 * 8</f>
        <v>648</v>
      </c>
      <c r="AM18">
        <f>VLOOKUP($AM$6, 'Other Lists'!$B$27:$H$32, 7, FALSE) * AK18 * 8</f>
        <v>324</v>
      </c>
      <c r="AN18" t="e">
        <f t="shared" si="11"/>
        <v>#REF!</v>
      </c>
    </row>
    <row r="19" spans="2:40">
      <c r="B19">
        <v>233</v>
      </c>
      <c r="C19" s="15">
        <v>45338</v>
      </c>
      <c r="D19">
        <f t="shared" si="0"/>
        <v>6</v>
      </c>
      <c r="E19">
        <f t="shared" si="1"/>
        <v>7</v>
      </c>
      <c r="F19">
        <v>3</v>
      </c>
      <c r="G19">
        <v>105</v>
      </c>
      <c r="H19">
        <v>189</v>
      </c>
      <c r="I19">
        <v>158</v>
      </c>
      <c r="J19">
        <v>0</v>
      </c>
      <c r="K19">
        <v>162</v>
      </c>
      <c r="L19">
        <v>0</v>
      </c>
      <c r="M19">
        <v>0</v>
      </c>
      <c r="N19">
        <v>151</v>
      </c>
      <c r="O19">
        <f t="shared" si="2"/>
        <v>31</v>
      </c>
      <c r="P19" s="17">
        <f t="shared" si="3"/>
        <v>0.95569620253164556</v>
      </c>
      <c r="Q19" s="18">
        <f>VLOOKUP($G$8, 'Other Lists'!$B$13:$H$15, 7, FALSE)</f>
        <v>184</v>
      </c>
      <c r="R19" s="18">
        <f>VLOOKUP($G$8, 'Other Lists'!$B$13:$F$15, 5, FALSE)</f>
        <v>129</v>
      </c>
      <c r="S19" s="18">
        <f>VLOOKUP($G$8, 'Other Lists'!$B$13:$G$15, 6, FALSE)</f>
        <v>36</v>
      </c>
      <c r="T19" s="18">
        <f t="shared" si="4"/>
        <v>165</v>
      </c>
      <c r="U19" s="18">
        <f>VLOOKUP($G$8, 'Other Lists'!$B$13:$H$15, 7, FALSE) *N19</f>
        <v>27784</v>
      </c>
      <c r="V19" s="18">
        <f t="shared" si="5"/>
        <v>26070</v>
      </c>
      <c r="W19" s="18">
        <f t="shared" si="6"/>
        <v>1714</v>
      </c>
      <c r="X19" s="18">
        <f t="shared" si="7"/>
        <v>1288</v>
      </c>
      <c r="Y19" s="18">
        <f t="shared" si="8"/>
        <v>0</v>
      </c>
      <c r="Z19">
        <v>6</v>
      </c>
      <c r="AA19">
        <v>6</v>
      </c>
      <c r="AB19">
        <v>0</v>
      </c>
      <c r="AC19">
        <v>3</v>
      </c>
      <c r="AD19">
        <f t="shared" si="9"/>
        <v>1</v>
      </c>
      <c r="AE19">
        <f>VLOOKUP($AE$6, 'Other Lists'!$B$27:$H$32, 7, FALSE) *AB19*8</f>
        <v>0</v>
      </c>
      <c r="AF19">
        <f>VLOOKUP($AF$6, 'Other Lists'!$B$27:$H$32, 7, FALSE) * AC19 * 8</f>
        <v>842.40000000000009</v>
      </c>
      <c r="AG19">
        <f>VLOOKUP($AG$6, 'Other Lists'!$B$27:$H$32, 7, FALSE) * AD19 * 8</f>
        <v>259.2</v>
      </c>
      <c r="AH19" t="e">
        <f>SUM(#REF!)</f>
        <v>#REF!</v>
      </c>
      <c r="AI19" t="e">
        <f t="shared" si="10"/>
        <v>#REF!</v>
      </c>
      <c r="AJ19">
        <v>2</v>
      </c>
      <c r="AK19">
        <v>1</v>
      </c>
      <c r="AL19">
        <f>VLOOKUP($AL$6, 'Other Lists'!$B$27:$H$32, 7, FALSE) * AJ19 * 8</f>
        <v>648</v>
      </c>
      <c r="AM19">
        <f>VLOOKUP($AM$6, 'Other Lists'!$B$27:$H$32, 7, FALSE) * AK19 * 8</f>
        <v>324</v>
      </c>
      <c r="AN19" t="e">
        <f t="shared" si="11"/>
        <v>#REF!</v>
      </c>
    </row>
    <row r="20" spans="2:40">
      <c r="B20">
        <v>234</v>
      </c>
      <c r="C20" s="15">
        <v>45339</v>
      </c>
      <c r="D20">
        <f t="shared" si="0"/>
        <v>7</v>
      </c>
      <c r="E20">
        <f t="shared" si="1"/>
        <v>7</v>
      </c>
      <c r="F20">
        <v>3</v>
      </c>
      <c r="G20">
        <v>105</v>
      </c>
      <c r="H20">
        <v>140</v>
      </c>
      <c r="I20">
        <v>140</v>
      </c>
      <c r="J20">
        <v>38</v>
      </c>
      <c r="K20">
        <v>162</v>
      </c>
      <c r="L20">
        <v>5</v>
      </c>
      <c r="M20">
        <v>43</v>
      </c>
      <c r="N20">
        <v>165</v>
      </c>
      <c r="O20">
        <f t="shared" si="2"/>
        <v>0</v>
      </c>
      <c r="P20" s="17">
        <f t="shared" si="3"/>
        <v>1.1785714285714286</v>
      </c>
      <c r="Q20" s="18">
        <f>VLOOKUP($G$8, 'Other Lists'!$B$13:$H$15, 7, FALSE)</f>
        <v>184</v>
      </c>
      <c r="R20" s="18">
        <f>VLOOKUP($G$8, 'Other Lists'!$B$13:$F$15, 5, FALSE)</f>
        <v>129</v>
      </c>
      <c r="S20" s="18">
        <f>VLOOKUP($G$8, 'Other Lists'!$B$13:$G$15, 6, FALSE)</f>
        <v>36</v>
      </c>
      <c r="T20" s="18">
        <f t="shared" si="4"/>
        <v>165</v>
      </c>
      <c r="U20" s="18">
        <f>VLOOKUP($G$8, 'Other Lists'!$B$13:$H$15, 7, FALSE) *N20</f>
        <v>30360</v>
      </c>
      <c r="V20" s="18">
        <f t="shared" si="5"/>
        <v>23100</v>
      </c>
      <c r="W20" s="18">
        <f t="shared" si="6"/>
        <v>7260</v>
      </c>
      <c r="X20" s="18">
        <f t="shared" si="7"/>
        <v>-4600</v>
      </c>
      <c r="Y20" s="18">
        <f t="shared" si="8"/>
        <v>36300</v>
      </c>
      <c r="Z20">
        <v>6</v>
      </c>
      <c r="AA20">
        <v>6</v>
      </c>
      <c r="AB20">
        <v>0</v>
      </c>
      <c r="AC20">
        <v>3</v>
      </c>
      <c r="AD20">
        <f t="shared" si="9"/>
        <v>1</v>
      </c>
      <c r="AE20">
        <f>VLOOKUP($AE$6, 'Other Lists'!$B$27:$H$32, 7, FALSE) *AB20*8</f>
        <v>0</v>
      </c>
      <c r="AF20">
        <f>VLOOKUP($AF$6, 'Other Lists'!$B$27:$H$32, 7, FALSE) * AC20 * 8</f>
        <v>842.40000000000009</v>
      </c>
      <c r="AG20">
        <f>VLOOKUP($AG$6, 'Other Lists'!$B$27:$H$32, 7, FALSE) * AD20 * 8</f>
        <v>259.2</v>
      </c>
      <c r="AH20" t="e">
        <f>SUM(#REF!)</f>
        <v>#REF!</v>
      </c>
      <c r="AI20" t="e">
        <f t="shared" si="10"/>
        <v>#REF!</v>
      </c>
      <c r="AJ20">
        <v>2</v>
      </c>
      <c r="AK20">
        <v>1</v>
      </c>
      <c r="AL20">
        <f>VLOOKUP($AL$6, 'Other Lists'!$B$27:$H$32, 7, FALSE) * AJ20 * 8</f>
        <v>648</v>
      </c>
      <c r="AM20">
        <f>VLOOKUP($AM$6, 'Other Lists'!$B$27:$H$32, 7, FALSE) * AK20 * 8</f>
        <v>324</v>
      </c>
      <c r="AN20" t="e">
        <f t="shared" si="11"/>
        <v>#REF!</v>
      </c>
    </row>
    <row r="21" spans="2:40">
      <c r="B21">
        <v>237</v>
      </c>
      <c r="C21" s="15">
        <v>45342</v>
      </c>
      <c r="D21">
        <f t="shared" si="0"/>
        <v>3</v>
      </c>
      <c r="E21">
        <f t="shared" si="1"/>
        <v>8</v>
      </c>
      <c r="F21">
        <v>3</v>
      </c>
      <c r="G21">
        <v>105</v>
      </c>
      <c r="H21">
        <v>136</v>
      </c>
      <c r="I21">
        <v>136</v>
      </c>
      <c r="J21">
        <v>42</v>
      </c>
      <c r="K21">
        <v>162</v>
      </c>
      <c r="L21">
        <v>12</v>
      </c>
      <c r="M21">
        <v>54</v>
      </c>
      <c r="N21">
        <v>172</v>
      </c>
      <c r="O21">
        <f t="shared" si="2"/>
        <v>0</v>
      </c>
      <c r="P21" s="17">
        <f t="shared" si="3"/>
        <v>1.2647058823529411</v>
      </c>
      <c r="Q21" s="18">
        <f>VLOOKUP($G$8, 'Other Lists'!$B$13:$H$15, 7, FALSE)</f>
        <v>184</v>
      </c>
      <c r="R21" s="18">
        <f>VLOOKUP($G$8, 'Other Lists'!$B$13:$F$15, 5, FALSE)</f>
        <v>129</v>
      </c>
      <c r="S21" s="18">
        <f>VLOOKUP($G$8, 'Other Lists'!$B$13:$G$15, 6, FALSE)</f>
        <v>36</v>
      </c>
      <c r="T21" s="18">
        <f t="shared" si="4"/>
        <v>165</v>
      </c>
      <c r="U21" s="18">
        <f>VLOOKUP($G$8, 'Other Lists'!$B$13:$H$15, 7, FALSE) *N21</f>
        <v>31648</v>
      </c>
      <c r="V21" s="18">
        <f t="shared" si="5"/>
        <v>22440</v>
      </c>
      <c r="W21" s="18">
        <f t="shared" si="6"/>
        <v>9208</v>
      </c>
      <c r="X21" s="18">
        <f t="shared" si="7"/>
        <v>-6624</v>
      </c>
      <c r="Y21" s="18">
        <f t="shared" si="8"/>
        <v>110496</v>
      </c>
      <c r="Z21">
        <v>6</v>
      </c>
      <c r="AA21">
        <v>6</v>
      </c>
      <c r="AB21">
        <v>0</v>
      </c>
      <c r="AC21">
        <v>4</v>
      </c>
      <c r="AD21">
        <f t="shared" si="9"/>
        <v>0</v>
      </c>
      <c r="AE21">
        <f>VLOOKUP($AE$6, 'Other Lists'!$B$27:$H$32, 7, FALSE) *AB21*8</f>
        <v>0</v>
      </c>
      <c r="AF21">
        <f>VLOOKUP($AF$6, 'Other Lists'!$B$27:$H$32, 7, FALSE) * AC21 * 8</f>
        <v>1123.2</v>
      </c>
      <c r="AG21">
        <f>VLOOKUP($AG$6, 'Other Lists'!$B$27:$H$32, 7, FALSE) * AD21 * 8</f>
        <v>0</v>
      </c>
      <c r="AH21" t="e">
        <f>SUM(#REF!)</f>
        <v>#REF!</v>
      </c>
      <c r="AI21" t="e">
        <f t="shared" si="10"/>
        <v>#REF!</v>
      </c>
      <c r="AJ21">
        <v>2</v>
      </c>
      <c r="AK21">
        <v>1</v>
      </c>
      <c r="AL21">
        <f>VLOOKUP($AL$6, 'Other Lists'!$B$27:$H$32, 7, FALSE) * AJ21 * 8</f>
        <v>648</v>
      </c>
      <c r="AM21">
        <f>VLOOKUP($AM$6, 'Other Lists'!$B$27:$H$32, 7, FALSE) * AK21 * 8</f>
        <v>324</v>
      </c>
      <c r="AN21" t="e">
        <f t="shared" si="11"/>
        <v>#REF!</v>
      </c>
    </row>
    <row r="22" spans="2:40">
      <c r="B22">
        <v>238</v>
      </c>
      <c r="C22" s="15">
        <v>45343</v>
      </c>
      <c r="D22">
        <f t="shared" si="0"/>
        <v>4</v>
      </c>
      <c r="E22">
        <f t="shared" si="1"/>
        <v>8</v>
      </c>
      <c r="F22">
        <v>3</v>
      </c>
      <c r="G22">
        <v>105</v>
      </c>
      <c r="H22">
        <v>137</v>
      </c>
      <c r="I22">
        <v>137</v>
      </c>
      <c r="J22">
        <v>15</v>
      </c>
      <c r="K22">
        <v>162</v>
      </c>
      <c r="L22">
        <v>0</v>
      </c>
      <c r="M22">
        <v>15</v>
      </c>
      <c r="N22">
        <v>144</v>
      </c>
      <c r="O22">
        <f t="shared" si="2"/>
        <v>0</v>
      </c>
      <c r="P22" s="17">
        <f t="shared" si="3"/>
        <v>1.051094890510949</v>
      </c>
      <c r="Q22" s="18">
        <f>VLOOKUP($G$8, 'Other Lists'!$B$13:$H$15, 7, FALSE)</f>
        <v>184</v>
      </c>
      <c r="R22" s="18">
        <f>VLOOKUP($G$8, 'Other Lists'!$B$13:$F$15, 5, FALSE)</f>
        <v>129</v>
      </c>
      <c r="S22" s="18">
        <f>VLOOKUP($G$8, 'Other Lists'!$B$13:$G$15, 6, FALSE)</f>
        <v>36</v>
      </c>
      <c r="T22" s="18">
        <f t="shared" si="4"/>
        <v>165</v>
      </c>
      <c r="U22" s="18">
        <f>VLOOKUP($G$8, 'Other Lists'!$B$13:$H$15, 7, FALSE) *N22</f>
        <v>26496</v>
      </c>
      <c r="V22" s="18">
        <f t="shared" si="5"/>
        <v>22605</v>
      </c>
      <c r="W22" s="18">
        <f t="shared" si="6"/>
        <v>3891</v>
      </c>
      <c r="X22" s="18">
        <f t="shared" si="7"/>
        <v>-1288</v>
      </c>
      <c r="Y22" s="18">
        <f t="shared" si="8"/>
        <v>0</v>
      </c>
      <c r="Z22">
        <v>6</v>
      </c>
      <c r="AA22">
        <v>6</v>
      </c>
      <c r="AB22">
        <v>0</v>
      </c>
      <c r="AC22">
        <v>4</v>
      </c>
      <c r="AD22">
        <f t="shared" si="9"/>
        <v>0</v>
      </c>
      <c r="AE22">
        <f>VLOOKUP($AE$6, 'Other Lists'!$B$27:$H$32, 7, FALSE) *AB22*8</f>
        <v>0</v>
      </c>
      <c r="AF22">
        <f>VLOOKUP($AF$6, 'Other Lists'!$B$27:$H$32, 7, FALSE) * AC22 * 8</f>
        <v>1123.2</v>
      </c>
      <c r="AG22">
        <f>VLOOKUP($AG$6, 'Other Lists'!$B$27:$H$32, 7, FALSE) * AD22 * 8</f>
        <v>0</v>
      </c>
      <c r="AH22" t="e">
        <f>SUM(#REF!)</f>
        <v>#REF!</v>
      </c>
      <c r="AI22" t="e">
        <f t="shared" si="10"/>
        <v>#REF!</v>
      </c>
      <c r="AJ22">
        <v>2</v>
      </c>
      <c r="AK22">
        <v>1</v>
      </c>
      <c r="AL22">
        <f>VLOOKUP($AL$6, 'Other Lists'!$B$27:$H$32, 7, FALSE) * AJ22 * 8</f>
        <v>648</v>
      </c>
      <c r="AM22">
        <f>VLOOKUP($AM$6, 'Other Lists'!$B$27:$H$32, 7, FALSE) * AK22 * 8</f>
        <v>324</v>
      </c>
      <c r="AN22" t="e">
        <f t="shared" si="11"/>
        <v>#REF!</v>
      </c>
    </row>
    <row r="23" spans="2:40">
      <c r="B23">
        <v>239</v>
      </c>
      <c r="C23" s="15">
        <v>45344</v>
      </c>
      <c r="D23">
        <f t="shared" si="0"/>
        <v>5</v>
      </c>
      <c r="E23">
        <f t="shared" si="1"/>
        <v>8</v>
      </c>
      <c r="F23">
        <v>3</v>
      </c>
      <c r="G23">
        <v>105</v>
      </c>
      <c r="H23">
        <v>155</v>
      </c>
      <c r="I23">
        <v>155</v>
      </c>
      <c r="J23">
        <v>10</v>
      </c>
      <c r="K23">
        <v>162</v>
      </c>
      <c r="L23">
        <v>0</v>
      </c>
      <c r="M23">
        <v>10</v>
      </c>
      <c r="N23">
        <v>161</v>
      </c>
      <c r="O23">
        <f t="shared" si="2"/>
        <v>0</v>
      </c>
      <c r="P23" s="17">
        <f t="shared" si="3"/>
        <v>1.0387096774193549</v>
      </c>
      <c r="Q23" s="18">
        <f>VLOOKUP($G$8, 'Other Lists'!$B$13:$H$15, 7, FALSE)</f>
        <v>184</v>
      </c>
      <c r="R23" s="18">
        <f>VLOOKUP($G$8, 'Other Lists'!$B$13:$F$15, 5, FALSE)</f>
        <v>129</v>
      </c>
      <c r="S23" s="18">
        <f>VLOOKUP($G$8, 'Other Lists'!$B$13:$G$15, 6, FALSE)</f>
        <v>36</v>
      </c>
      <c r="T23" s="18">
        <f t="shared" si="4"/>
        <v>165</v>
      </c>
      <c r="U23" s="18">
        <f>VLOOKUP($G$8, 'Other Lists'!$B$13:$H$15, 7, FALSE) *N23</f>
        <v>29624</v>
      </c>
      <c r="V23" s="18">
        <f t="shared" si="5"/>
        <v>25575</v>
      </c>
      <c r="W23" s="18">
        <f t="shared" si="6"/>
        <v>4049</v>
      </c>
      <c r="X23" s="18">
        <f t="shared" si="7"/>
        <v>-1104</v>
      </c>
      <c r="Y23" s="18">
        <f t="shared" si="8"/>
        <v>0</v>
      </c>
      <c r="Z23">
        <v>6</v>
      </c>
      <c r="AA23">
        <v>6</v>
      </c>
      <c r="AB23">
        <v>0</v>
      </c>
      <c r="AC23">
        <v>3</v>
      </c>
      <c r="AD23">
        <f t="shared" si="9"/>
        <v>1</v>
      </c>
      <c r="AE23">
        <f>VLOOKUP($AE$6, 'Other Lists'!$B$27:$H$32, 7, FALSE) *AB23*8</f>
        <v>0</v>
      </c>
      <c r="AF23">
        <f>VLOOKUP($AF$6, 'Other Lists'!$B$27:$H$32, 7, FALSE) * AC23 * 8</f>
        <v>842.40000000000009</v>
      </c>
      <c r="AG23">
        <f>VLOOKUP($AG$6, 'Other Lists'!$B$27:$H$32, 7, FALSE) * AD23 * 8</f>
        <v>259.2</v>
      </c>
      <c r="AH23" t="e">
        <f>SUM(#REF!)</f>
        <v>#REF!</v>
      </c>
      <c r="AI23" t="e">
        <f t="shared" si="10"/>
        <v>#REF!</v>
      </c>
      <c r="AJ23">
        <v>2</v>
      </c>
      <c r="AK23">
        <v>1</v>
      </c>
      <c r="AL23">
        <f>VLOOKUP($AL$6, 'Other Lists'!$B$27:$H$32, 7, FALSE) * AJ23 * 8</f>
        <v>648</v>
      </c>
      <c r="AM23">
        <f>VLOOKUP($AM$6, 'Other Lists'!$B$27:$H$32, 7, FALSE) * AK23 * 8</f>
        <v>324</v>
      </c>
      <c r="AN23" t="e">
        <f t="shared" si="11"/>
        <v>#REF!</v>
      </c>
    </row>
    <row r="24" spans="2:40">
      <c r="B24">
        <v>240</v>
      </c>
      <c r="C24" s="15">
        <v>45345</v>
      </c>
      <c r="D24">
        <f t="shared" si="0"/>
        <v>6</v>
      </c>
      <c r="E24">
        <f t="shared" si="1"/>
        <v>8</v>
      </c>
      <c r="F24">
        <v>3</v>
      </c>
      <c r="G24">
        <v>105</v>
      </c>
      <c r="H24">
        <v>178</v>
      </c>
      <c r="I24">
        <v>158</v>
      </c>
      <c r="J24">
        <v>0</v>
      </c>
      <c r="K24">
        <v>162</v>
      </c>
      <c r="L24">
        <v>0</v>
      </c>
      <c r="M24">
        <v>0</v>
      </c>
      <c r="N24">
        <v>153</v>
      </c>
      <c r="O24">
        <f t="shared" si="2"/>
        <v>20</v>
      </c>
      <c r="P24" s="17">
        <f t="shared" si="3"/>
        <v>0.96835443037974689</v>
      </c>
      <c r="Q24" s="18">
        <f>VLOOKUP($G$8, 'Other Lists'!$B$13:$H$15, 7, FALSE)</f>
        <v>184</v>
      </c>
      <c r="R24" s="18">
        <f>VLOOKUP($G$8, 'Other Lists'!$B$13:$F$15, 5, FALSE)</f>
        <v>129</v>
      </c>
      <c r="S24" s="18">
        <f>VLOOKUP($G$8, 'Other Lists'!$B$13:$G$15, 6, FALSE)</f>
        <v>36</v>
      </c>
      <c r="T24" s="18">
        <f t="shared" si="4"/>
        <v>165</v>
      </c>
      <c r="U24" s="18">
        <f>VLOOKUP($G$8, 'Other Lists'!$B$13:$H$15, 7, FALSE) *N24</f>
        <v>28152</v>
      </c>
      <c r="V24" s="18">
        <f t="shared" si="5"/>
        <v>26070</v>
      </c>
      <c r="W24" s="18">
        <f t="shared" si="6"/>
        <v>2082</v>
      </c>
      <c r="X24" s="18">
        <f t="shared" si="7"/>
        <v>920</v>
      </c>
      <c r="Y24" s="18">
        <f t="shared" si="8"/>
        <v>0</v>
      </c>
      <c r="Z24">
        <v>6</v>
      </c>
      <c r="AA24">
        <v>6</v>
      </c>
      <c r="AB24">
        <v>0</v>
      </c>
      <c r="AC24">
        <v>3</v>
      </c>
      <c r="AD24">
        <f t="shared" si="9"/>
        <v>1</v>
      </c>
      <c r="AE24">
        <f>VLOOKUP($AE$6, 'Other Lists'!$B$27:$H$32, 7, FALSE) *AB24*8</f>
        <v>0</v>
      </c>
      <c r="AF24">
        <f>VLOOKUP($AF$6, 'Other Lists'!$B$27:$H$32, 7, FALSE) * AC24 * 8</f>
        <v>842.40000000000009</v>
      </c>
      <c r="AG24">
        <f>VLOOKUP($AG$6, 'Other Lists'!$B$27:$H$32, 7, FALSE) * AD24 * 8</f>
        <v>259.2</v>
      </c>
      <c r="AH24" t="e">
        <f>SUM(#REF!)</f>
        <v>#REF!</v>
      </c>
      <c r="AI24" t="e">
        <f t="shared" si="10"/>
        <v>#REF!</v>
      </c>
      <c r="AJ24">
        <v>2</v>
      </c>
      <c r="AK24">
        <v>1</v>
      </c>
      <c r="AL24">
        <f>VLOOKUP($AL$6, 'Other Lists'!$B$27:$H$32, 7, FALSE) * AJ24 * 8</f>
        <v>648</v>
      </c>
      <c r="AM24">
        <f>VLOOKUP($AM$6, 'Other Lists'!$B$27:$H$32, 7, FALSE) * AK24 * 8</f>
        <v>324</v>
      </c>
      <c r="AN24" t="e">
        <f t="shared" si="11"/>
        <v>#REF!</v>
      </c>
    </row>
    <row r="25" spans="2:40">
      <c r="B25">
        <v>241</v>
      </c>
      <c r="C25" s="15">
        <v>45346</v>
      </c>
      <c r="D25">
        <f t="shared" si="0"/>
        <v>7</v>
      </c>
      <c r="E25">
        <f t="shared" si="1"/>
        <v>8</v>
      </c>
      <c r="F25">
        <v>3</v>
      </c>
      <c r="G25">
        <v>105</v>
      </c>
      <c r="H25">
        <v>136</v>
      </c>
      <c r="I25">
        <v>136</v>
      </c>
      <c r="J25">
        <v>38</v>
      </c>
      <c r="K25">
        <v>162</v>
      </c>
      <c r="L25">
        <v>0</v>
      </c>
      <c r="M25">
        <v>38</v>
      </c>
      <c r="N25">
        <v>165</v>
      </c>
      <c r="O25">
        <f t="shared" si="2"/>
        <v>0</v>
      </c>
      <c r="P25" s="17">
        <f t="shared" si="3"/>
        <v>1.213235294117647</v>
      </c>
      <c r="Q25" s="18">
        <f>VLOOKUP($G$8, 'Other Lists'!$B$13:$H$15, 7, FALSE)</f>
        <v>184</v>
      </c>
      <c r="R25" s="18">
        <f>VLOOKUP($G$8, 'Other Lists'!$B$13:$F$15, 5, FALSE)</f>
        <v>129</v>
      </c>
      <c r="S25" s="18">
        <f>VLOOKUP($G$8, 'Other Lists'!$B$13:$G$15, 6, FALSE)</f>
        <v>36</v>
      </c>
      <c r="T25" s="18">
        <f t="shared" si="4"/>
        <v>165</v>
      </c>
      <c r="U25" s="18">
        <f>VLOOKUP($G$8, 'Other Lists'!$B$13:$H$15, 7, FALSE) *N25</f>
        <v>30360</v>
      </c>
      <c r="V25" s="18">
        <f t="shared" si="5"/>
        <v>22440</v>
      </c>
      <c r="W25" s="18">
        <f t="shared" si="6"/>
        <v>7920</v>
      </c>
      <c r="X25" s="18">
        <f t="shared" si="7"/>
        <v>-5336</v>
      </c>
      <c r="Y25" s="18">
        <f t="shared" si="8"/>
        <v>0</v>
      </c>
      <c r="Z25">
        <v>6</v>
      </c>
      <c r="AA25">
        <v>6</v>
      </c>
      <c r="AB25">
        <v>0</v>
      </c>
      <c r="AC25">
        <v>3</v>
      </c>
      <c r="AD25">
        <f t="shared" si="9"/>
        <v>1</v>
      </c>
      <c r="AE25">
        <f>VLOOKUP($AE$6, 'Other Lists'!$B$27:$H$32, 7, FALSE) *AB25*8</f>
        <v>0</v>
      </c>
      <c r="AF25">
        <f>VLOOKUP($AF$6, 'Other Lists'!$B$27:$H$32, 7, FALSE) * AC25 * 8</f>
        <v>842.40000000000009</v>
      </c>
      <c r="AG25">
        <f>VLOOKUP($AG$6, 'Other Lists'!$B$27:$H$32, 7, FALSE) * AD25 * 8</f>
        <v>259.2</v>
      </c>
      <c r="AH25" t="e">
        <f>SUM(#REF!)</f>
        <v>#REF!</v>
      </c>
      <c r="AI25" t="e">
        <f t="shared" si="10"/>
        <v>#REF!</v>
      </c>
      <c r="AJ25">
        <v>2</v>
      </c>
      <c r="AK25">
        <v>1</v>
      </c>
      <c r="AL25">
        <f>VLOOKUP($AL$6, 'Other Lists'!$B$27:$H$32, 7, FALSE) * AJ25 * 8</f>
        <v>648</v>
      </c>
      <c r="AM25">
        <f>VLOOKUP($AM$6, 'Other Lists'!$B$27:$H$32, 7, FALSE) * AK25 * 8</f>
        <v>324</v>
      </c>
      <c r="AN25" t="e">
        <f t="shared" si="11"/>
        <v>#REF!</v>
      </c>
    </row>
    <row r="26" spans="2:40">
      <c r="B26">
        <v>244</v>
      </c>
      <c r="C26" s="15">
        <v>45349</v>
      </c>
      <c r="D26">
        <f t="shared" si="0"/>
        <v>3</v>
      </c>
      <c r="E26">
        <f t="shared" si="1"/>
        <v>9</v>
      </c>
      <c r="F26">
        <v>3</v>
      </c>
      <c r="G26">
        <v>105</v>
      </c>
      <c r="H26">
        <v>139</v>
      </c>
      <c r="I26">
        <v>139</v>
      </c>
      <c r="J26">
        <v>2</v>
      </c>
      <c r="K26">
        <v>162</v>
      </c>
      <c r="L26">
        <v>0</v>
      </c>
      <c r="M26">
        <v>2</v>
      </c>
      <c r="N26">
        <v>132</v>
      </c>
      <c r="O26">
        <f t="shared" si="2"/>
        <v>0</v>
      </c>
      <c r="P26" s="17">
        <f t="shared" si="3"/>
        <v>0.94964028776978415</v>
      </c>
      <c r="Q26" s="18">
        <f>VLOOKUP($G$8, 'Other Lists'!$B$13:$H$15, 7, FALSE)</f>
        <v>184</v>
      </c>
      <c r="R26" s="18">
        <f>VLOOKUP($G$8, 'Other Lists'!$B$13:$F$15, 5, FALSE)</f>
        <v>129</v>
      </c>
      <c r="S26" s="18">
        <f>VLOOKUP($G$8, 'Other Lists'!$B$13:$G$15, 6, FALSE)</f>
        <v>36</v>
      </c>
      <c r="T26" s="18">
        <f t="shared" si="4"/>
        <v>165</v>
      </c>
      <c r="U26" s="18">
        <f>VLOOKUP($G$8, 'Other Lists'!$B$13:$H$15, 7, FALSE) *N26</f>
        <v>24288</v>
      </c>
      <c r="V26" s="18">
        <f t="shared" si="5"/>
        <v>22935</v>
      </c>
      <c r="W26" s="18">
        <f t="shared" si="6"/>
        <v>1353</v>
      </c>
      <c r="X26" s="18">
        <f t="shared" si="7"/>
        <v>1288</v>
      </c>
      <c r="Y26" s="18">
        <f t="shared" si="8"/>
        <v>0</v>
      </c>
      <c r="Z26">
        <v>6</v>
      </c>
      <c r="AA26">
        <v>6</v>
      </c>
      <c r="AB26">
        <v>0</v>
      </c>
      <c r="AC26">
        <v>3</v>
      </c>
      <c r="AD26">
        <f t="shared" si="9"/>
        <v>1</v>
      </c>
      <c r="AE26">
        <f>VLOOKUP($AE$6, 'Other Lists'!$B$27:$H$32, 7, FALSE) *AB26*8</f>
        <v>0</v>
      </c>
      <c r="AF26">
        <f>VLOOKUP($AF$6, 'Other Lists'!$B$27:$H$32, 7, FALSE) * AC26 * 8</f>
        <v>842.40000000000009</v>
      </c>
      <c r="AG26">
        <f>VLOOKUP($AG$6, 'Other Lists'!$B$27:$H$32, 7, FALSE) * AD26 * 8</f>
        <v>259.2</v>
      </c>
      <c r="AH26" t="e">
        <f>SUM(#REF!)</f>
        <v>#REF!</v>
      </c>
      <c r="AI26" t="e">
        <f t="shared" si="10"/>
        <v>#REF!</v>
      </c>
      <c r="AJ26">
        <v>2</v>
      </c>
      <c r="AK26">
        <v>1</v>
      </c>
      <c r="AL26">
        <f>VLOOKUP($AL$6, 'Other Lists'!$B$27:$H$32, 7, FALSE) * AJ26 * 8</f>
        <v>648</v>
      </c>
      <c r="AM26">
        <f>VLOOKUP($AM$6, 'Other Lists'!$B$27:$H$32, 7, FALSE) * AK26 * 8</f>
        <v>324</v>
      </c>
      <c r="AN26" t="e">
        <f t="shared" si="11"/>
        <v>#REF!</v>
      </c>
    </row>
    <row r="27" spans="2:40">
      <c r="B27">
        <v>245</v>
      </c>
      <c r="C27" s="15">
        <v>45350</v>
      </c>
      <c r="D27">
        <f t="shared" si="0"/>
        <v>4</v>
      </c>
      <c r="E27">
        <f t="shared" si="1"/>
        <v>9</v>
      </c>
      <c r="F27">
        <v>3</v>
      </c>
      <c r="G27">
        <v>105</v>
      </c>
      <c r="H27">
        <v>179</v>
      </c>
      <c r="I27">
        <v>155</v>
      </c>
      <c r="J27">
        <v>0</v>
      </c>
      <c r="K27">
        <v>162</v>
      </c>
      <c r="L27">
        <v>0</v>
      </c>
      <c r="M27">
        <v>0</v>
      </c>
      <c r="N27">
        <v>145</v>
      </c>
      <c r="O27">
        <f t="shared" si="2"/>
        <v>24</v>
      </c>
      <c r="P27" s="17">
        <f t="shared" si="3"/>
        <v>0.93548387096774188</v>
      </c>
      <c r="Q27" s="18">
        <f>VLOOKUP($G$8, 'Other Lists'!$B$13:$H$15, 7, FALSE)</f>
        <v>184</v>
      </c>
      <c r="R27" s="18">
        <f>VLOOKUP($G$8, 'Other Lists'!$B$13:$F$15, 5, FALSE)</f>
        <v>129</v>
      </c>
      <c r="S27" s="18">
        <f>VLOOKUP($G$8, 'Other Lists'!$B$13:$G$15, 6, FALSE)</f>
        <v>36</v>
      </c>
      <c r="T27" s="18">
        <f t="shared" si="4"/>
        <v>165</v>
      </c>
      <c r="U27" s="18">
        <f>VLOOKUP($G$8, 'Other Lists'!$B$13:$H$15, 7, FALSE) *N27</f>
        <v>26680</v>
      </c>
      <c r="V27" s="18">
        <f t="shared" si="5"/>
        <v>25575</v>
      </c>
      <c r="W27" s="18">
        <f t="shared" si="6"/>
        <v>1105</v>
      </c>
      <c r="X27" s="18">
        <f t="shared" si="7"/>
        <v>1840</v>
      </c>
      <c r="Y27" s="18">
        <f t="shared" si="8"/>
        <v>0</v>
      </c>
      <c r="Z27">
        <v>6</v>
      </c>
      <c r="AA27">
        <v>6</v>
      </c>
      <c r="AB27">
        <v>0</v>
      </c>
      <c r="AC27">
        <v>3</v>
      </c>
      <c r="AD27">
        <f t="shared" si="9"/>
        <v>1</v>
      </c>
      <c r="AE27">
        <f>VLOOKUP($AE$6, 'Other Lists'!$B$27:$H$32, 7, FALSE) *AB27*8</f>
        <v>0</v>
      </c>
      <c r="AF27">
        <f>VLOOKUP($AF$6, 'Other Lists'!$B$27:$H$32, 7, FALSE) * AC27 * 8</f>
        <v>842.40000000000009</v>
      </c>
      <c r="AG27">
        <f>VLOOKUP($AG$6, 'Other Lists'!$B$27:$H$32, 7, FALSE) * AD27 * 8</f>
        <v>259.2</v>
      </c>
      <c r="AH27" t="e">
        <f>SUM(#REF!)</f>
        <v>#REF!</v>
      </c>
      <c r="AI27" t="e">
        <f t="shared" si="10"/>
        <v>#REF!</v>
      </c>
      <c r="AJ27">
        <v>2</v>
      </c>
      <c r="AK27">
        <v>1</v>
      </c>
      <c r="AL27">
        <f>VLOOKUP($AL$6, 'Other Lists'!$B$27:$H$32, 7, FALSE) * AJ27 * 8</f>
        <v>648</v>
      </c>
      <c r="AM27">
        <f>VLOOKUP($AM$6, 'Other Lists'!$B$27:$H$32, 7, FALSE) * AK27 * 8</f>
        <v>324</v>
      </c>
      <c r="AN27" t="e">
        <f t="shared" si="11"/>
        <v>#REF!</v>
      </c>
    </row>
    <row r="28" spans="2:40">
      <c r="B28">
        <v>246</v>
      </c>
      <c r="C28" s="15">
        <v>45351</v>
      </c>
      <c r="D28">
        <f t="shared" si="0"/>
        <v>5</v>
      </c>
      <c r="E28">
        <f t="shared" si="1"/>
        <v>9</v>
      </c>
      <c r="F28">
        <v>3</v>
      </c>
      <c r="G28">
        <v>105</v>
      </c>
      <c r="H28">
        <v>134</v>
      </c>
      <c r="I28">
        <v>134</v>
      </c>
      <c r="J28">
        <v>44</v>
      </c>
      <c r="K28">
        <v>162</v>
      </c>
      <c r="L28">
        <v>7</v>
      </c>
      <c r="M28">
        <v>51</v>
      </c>
      <c r="N28">
        <v>172</v>
      </c>
      <c r="O28">
        <f t="shared" si="2"/>
        <v>0</v>
      </c>
      <c r="P28" s="17">
        <f t="shared" si="3"/>
        <v>1.2835820895522387</v>
      </c>
      <c r="Q28" s="18">
        <f>VLOOKUP($G$8, 'Other Lists'!$B$13:$H$15, 7, FALSE)</f>
        <v>184</v>
      </c>
      <c r="R28" s="18">
        <f>VLOOKUP($G$8, 'Other Lists'!$B$13:$F$15, 5, FALSE)</f>
        <v>129</v>
      </c>
      <c r="S28" s="18">
        <f>VLOOKUP($G$8, 'Other Lists'!$B$13:$G$15, 6, FALSE)</f>
        <v>36</v>
      </c>
      <c r="T28" s="18">
        <f t="shared" si="4"/>
        <v>165</v>
      </c>
      <c r="U28" s="18">
        <f>VLOOKUP($G$8, 'Other Lists'!$B$13:$H$15, 7, FALSE) *N28</f>
        <v>31648</v>
      </c>
      <c r="V28" s="18">
        <f t="shared" si="5"/>
        <v>22110</v>
      </c>
      <c r="W28" s="18">
        <f t="shared" si="6"/>
        <v>9538</v>
      </c>
      <c r="X28" s="18">
        <f t="shared" si="7"/>
        <v>-6992</v>
      </c>
      <c r="Y28" s="18">
        <f t="shared" si="8"/>
        <v>66766</v>
      </c>
      <c r="Z28">
        <v>6</v>
      </c>
      <c r="AA28">
        <v>6</v>
      </c>
      <c r="AB28">
        <v>0</v>
      </c>
      <c r="AC28">
        <v>3</v>
      </c>
      <c r="AD28">
        <f t="shared" si="9"/>
        <v>1</v>
      </c>
      <c r="AE28">
        <f>VLOOKUP($AE$6, 'Other Lists'!$B$27:$H$32, 7, FALSE) *AB28*8</f>
        <v>0</v>
      </c>
      <c r="AF28">
        <f>VLOOKUP($AF$6, 'Other Lists'!$B$27:$H$32, 7, FALSE) * AC28 * 8</f>
        <v>842.40000000000009</v>
      </c>
      <c r="AG28">
        <f>VLOOKUP($AG$6, 'Other Lists'!$B$27:$H$32, 7, FALSE) * AD28 * 8</f>
        <v>259.2</v>
      </c>
      <c r="AH28" t="e">
        <f>SUM(#REF!)</f>
        <v>#REF!</v>
      </c>
      <c r="AI28" t="e">
        <f t="shared" si="10"/>
        <v>#REF!</v>
      </c>
      <c r="AJ28">
        <v>2</v>
      </c>
      <c r="AK28">
        <v>1</v>
      </c>
      <c r="AL28">
        <f>VLOOKUP($AL$6, 'Other Lists'!$B$27:$H$32, 7, FALSE) * AJ28 * 8</f>
        <v>648</v>
      </c>
      <c r="AM28">
        <f>VLOOKUP($AM$6, 'Other Lists'!$B$27:$H$32, 7, FALSE) * AK28 * 8</f>
        <v>324</v>
      </c>
      <c r="AN28" t="e">
        <f t="shared" si="11"/>
        <v>#REF!</v>
      </c>
    </row>
  </sheetData>
  <autoFilter ref="B7:AN28" xr:uid="{0083C8F3-3CAD-F343-A1A6-CD7B018D033F}"/>
  <mergeCells count="1">
    <mergeCell ref="A1:J1"/>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AF83D-A035-884A-9F45-00B4A80028A7}">
  <dimension ref="A1:M28"/>
  <sheetViews>
    <sheetView zoomScale="131" workbookViewId="0">
      <selection sqref="A1:M1"/>
    </sheetView>
  </sheetViews>
  <sheetFormatPr baseColWidth="10" defaultRowHeight="15"/>
  <cols>
    <col min="1" max="1" width="23.83203125" bestFit="1" customWidth="1"/>
    <col min="2" max="2" width="15.83203125" bestFit="1" customWidth="1"/>
    <col min="3" max="5" width="9.6640625" bestFit="1" customWidth="1"/>
  </cols>
  <sheetData>
    <row r="1" spans="1:13" ht="19">
      <c r="A1" s="50" t="s">
        <v>844</v>
      </c>
      <c r="B1" s="50"/>
      <c r="C1" s="50"/>
      <c r="D1" s="50"/>
      <c r="E1" s="50"/>
      <c r="F1" s="50"/>
      <c r="G1" s="50"/>
      <c r="H1" s="50"/>
      <c r="I1" s="50"/>
      <c r="J1" s="50"/>
      <c r="K1" s="50"/>
      <c r="L1" s="50"/>
      <c r="M1" s="50"/>
    </row>
    <row r="2" spans="1:13" ht="19">
      <c r="A2" s="23"/>
      <c r="B2" s="23"/>
      <c r="C2" s="23"/>
      <c r="D2" s="23"/>
      <c r="E2" s="23"/>
      <c r="F2" s="52"/>
      <c r="G2" s="52"/>
      <c r="H2" s="52"/>
      <c r="I2" s="52"/>
      <c r="J2" s="52"/>
      <c r="K2" s="52"/>
      <c r="L2" s="52"/>
      <c r="M2" s="52"/>
    </row>
    <row r="3" spans="1:13">
      <c r="F3" s="52"/>
      <c r="G3" s="52"/>
      <c r="H3" s="52"/>
      <c r="I3" s="52"/>
      <c r="J3" s="52"/>
      <c r="K3" s="52"/>
      <c r="L3" s="52"/>
      <c r="M3" s="52"/>
    </row>
    <row r="4" spans="1:13">
      <c r="A4" s="22" t="s">
        <v>843</v>
      </c>
      <c r="C4" s="22" t="s">
        <v>399</v>
      </c>
      <c r="F4" s="52"/>
      <c r="G4" s="52"/>
      <c r="H4" s="52"/>
      <c r="I4" s="52"/>
      <c r="J4" s="52"/>
      <c r="K4" s="52"/>
      <c r="L4" s="52"/>
      <c r="M4" s="52"/>
    </row>
    <row r="5" spans="1:13">
      <c r="A5" s="22" t="s">
        <v>833</v>
      </c>
      <c r="B5" s="22" t="s">
        <v>409</v>
      </c>
      <c r="C5">
        <v>1</v>
      </c>
      <c r="D5">
        <v>2</v>
      </c>
      <c r="E5">
        <v>3</v>
      </c>
      <c r="F5" s="52"/>
      <c r="G5" s="52"/>
      <c r="H5" s="52"/>
      <c r="I5" s="52"/>
      <c r="J5" s="52"/>
      <c r="K5" s="52"/>
      <c r="L5" s="52"/>
      <c r="M5" s="52"/>
    </row>
    <row r="6" spans="1:13">
      <c r="A6">
        <v>5</v>
      </c>
      <c r="B6">
        <v>105</v>
      </c>
      <c r="C6" s="18">
        <v>111006</v>
      </c>
      <c r="D6" s="18">
        <v>17578</v>
      </c>
      <c r="E6" s="18">
        <v>173430</v>
      </c>
      <c r="F6" s="52"/>
      <c r="G6" s="52"/>
      <c r="H6" s="52"/>
      <c r="I6" s="52"/>
      <c r="J6" s="52"/>
      <c r="K6" s="52"/>
      <c r="L6" s="52"/>
      <c r="M6" s="52"/>
    </row>
    <row r="7" spans="1:13">
      <c r="A7">
        <v>6</v>
      </c>
      <c r="B7">
        <v>105</v>
      </c>
      <c r="C7" s="18">
        <v>140853</v>
      </c>
      <c r="D7" s="18">
        <v>113541</v>
      </c>
      <c r="E7" s="18">
        <v>441064</v>
      </c>
      <c r="F7" s="52"/>
      <c r="G7" s="52"/>
      <c r="H7" s="52"/>
      <c r="I7" s="52"/>
      <c r="J7" s="52"/>
      <c r="K7" s="52"/>
      <c r="L7" s="52"/>
      <c r="M7" s="52"/>
    </row>
    <row r="8" spans="1:13">
      <c r="A8">
        <v>7</v>
      </c>
      <c r="B8">
        <v>105</v>
      </c>
      <c r="C8" s="18">
        <v>71553</v>
      </c>
      <c r="D8" s="18">
        <v>53534</v>
      </c>
      <c r="E8" s="18">
        <v>56760</v>
      </c>
      <c r="F8" s="52"/>
      <c r="G8" s="52"/>
      <c r="H8" s="52"/>
      <c r="I8" s="52"/>
      <c r="J8" s="52"/>
      <c r="K8" s="52"/>
      <c r="L8" s="52"/>
      <c r="M8" s="52"/>
    </row>
    <row r="9" spans="1:13">
      <c r="A9">
        <v>8</v>
      </c>
      <c r="B9">
        <v>105</v>
      </c>
      <c r="C9" s="18">
        <v>157207</v>
      </c>
      <c r="D9" s="18">
        <v>78198</v>
      </c>
      <c r="E9" s="18">
        <v>110496</v>
      </c>
      <c r="F9" s="52"/>
      <c r="G9" s="52"/>
      <c r="H9" s="52"/>
      <c r="I9" s="52"/>
      <c r="J9" s="52"/>
      <c r="K9" s="52"/>
      <c r="L9" s="52"/>
      <c r="M9" s="52"/>
    </row>
    <row r="10" spans="1:13">
      <c r="A10">
        <v>9</v>
      </c>
      <c r="B10">
        <v>105</v>
      </c>
      <c r="C10" s="18">
        <v>5366</v>
      </c>
      <c r="D10" s="18">
        <v>132039</v>
      </c>
      <c r="E10" s="18">
        <v>66766</v>
      </c>
      <c r="F10" s="52"/>
      <c r="G10" s="52"/>
      <c r="H10" s="52"/>
      <c r="I10" s="52"/>
      <c r="J10" s="52"/>
      <c r="K10" s="52"/>
      <c r="L10" s="52"/>
      <c r="M10" s="52"/>
    </row>
    <row r="11" spans="1:13">
      <c r="A11" t="s">
        <v>834</v>
      </c>
      <c r="C11" s="18">
        <v>485985</v>
      </c>
      <c r="D11" s="18">
        <v>394890</v>
      </c>
      <c r="E11" s="18">
        <v>848516</v>
      </c>
      <c r="F11" s="52"/>
      <c r="G11" s="52"/>
      <c r="H11" s="52"/>
      <c r="I11" s="52"/>
      <c r="J11" s="52"/>
      <c r="K11" s="52"/>
      <c r="L11" s="52"/>
      <c r="M11" s="52"/>
    </row>
    <row r="12" spans="1:13">
      <c r="F12" s="52"/>
      <c r="G12" s="52"/>
      <c r="H12" s="52"/>
      <c r="I12" s="52"/>
      <c r="J12" s="52"/>
      <c r="K12" s="52"/>
      <c r="L12" s="52"/>
      <c r="M12" s="52"/>
    </row>
    <row r="13" spans="1:13">
      <c r="F13" s="52"/>
      <c r="G13" s="52"/>
      <c r="H13" s="52"/>
      <c r="I13" s="52"/>
      <c r="J13" s="52"/>
      <c r="K13" s="52"/>
      <c r="L13" s="52"/>
      <c r="M13" s="52"/>
    </row>
    <row r="14" spans="1:13" ht="19" customHeight="1">
      <c r="F14" s="52"/>
      <c r="G14" s="52"/>
      <c r="H14" s="52"/>
      <c r="I14" s="52"/>
      <c r="J14" s="52"/>
      <c r="K14" s="52"/>
      <c r="L14" s="52"/>
      <c r="M14" s="52"/>
    </row>
    <row r="15" spans="1:13">
      <c r="F15" s="52"/>
      <c r="G15" s="52"/>
      <c r="H15" s="52"/>
      <c r="I15" s="52"/>
      <c r="J15" s="52"/>
      <c r="K15" s="52"/>
      <c r="L15" s="52"/>
      <c r="M15" s="52"/>
    </row>
    <row r="16" spans="1:13">
      <c r="F16" s="52"/>
      <c r="G16" s="52"/>
      <c r="H16" s="52"/>
      <c r="I16" s="52"/>
      <c r="J16" s="52"/>
      <c r="K16" s="52"/>
      <c r="L16" s="52"/>
      <c r="M16" s="52"/>
    </row>
    <row r="17" spans="1:13">
      <c r="F17" s="52"/>
      <c r="G17" s="52"/>
      <c r="H17" s="52"/>
      <c r="I17" s="52"/>
      <c r="J17" s="52"/>
      <c r="K17" s="52"/>
      <c r="L17" s="52"/>
      <c r="M17" s="52"/>
    </row>
    <row r="18" spans="1:13">
      <c r="F18" s="52"/>
      <c r="G18" s="52"/>
      <c r="H18" s="52"/>
      <c r="I18" s="52"/>
      <c r="J18" s="52"/>
      <c r="K18" s="52"/>
      <c r="L18" s="52"/>
      <c r="M18" s="52"/>
    </row>
    <row r="19" spans="1:13">
      <c r="F19" s="52"/>
      <c r="G19" s="52"/>
      <c r="H19" s="52"/>
      <c r="I19" s="52"/>
      <c r="J19" s="52"/>
      <c r="K19" s="52"/>
      <c r="L19" s="52"/>
      <c r="M19" s="52"/>
    </row>
    <row r="20" spans="1:13">
      <c r="F20" s="52"/>
      <c r="G20" s="52"/>
      <c r="H20" s="52"/>
      <c r="I20" s="52"/>
      <c r="J20" s="52"/>
      <c r="K20" s="52"/>
      <c r="L20" s="52"/>
      <c r="M20" s="52"/>
    </row>
    <row r="21" spans="1:13">
      <c r="F21" s="52"/>
      <c r="G21" s="52"/>
      <c r="H21" s="52"/>
      <c r="I21" s="52"/>
      <c r="J21" s="52"/>
      <c r="K21" s="52"/>
      <c r="L21" s="52"/>
      <c r="M21" s="52"/>
    </row>
    <row r="22" spans="1:13">
      <c r="F22" s="52"/>
      <c r="G22" s="52"/>
      <c r="H22" s="52"/>
      <c r="I22" s="52"/>
      <c r="J22" s="52"/>
      <c r="K22" s="52"/>
      <c r="L22" s="52"/>
      <c r="M22" s="52"/>
    </row>
    <row r="23" spans="1:13">
      <c r="F23" s="52"/>
      <c r="G23" s="52"/>
      <c r="H23" s="52"/>
      <c r="I23" s="52"/>
      <c r="J23" s="52"/>
      <c r="K23" s="52"/>
      <c r="L23" s="52"/>
      <c r="M23" s="52"/>
    </row>
    <row r="24" spans="1:13">
      <c r="F24" s="52"/>
      <c r="G24" s="52"/>
      <c r="H24" s="52"/>
      <c r="I24" s="52"/>
      <c r="J24" s="52"/>
      <c r="K24" s="52"/>
      <c r="L24" s="52"/>
      <c r="M24" s="52"/>
    </row>
    <row r="25" spans="1:13">
      <c r="A25" s="24" t="s">
        <v>813</v>
      </c>
      <c r="B25" s="37" t="s">
        <v>847</v>
      </c>
      <c r="C25" s="37"/>
      <c r="D25" s="37"/>
      <c r="E25" s="37"/>
      <c r="F25" s="37"/>
      <c r="G25" s="37"/>
      <c r="H25" s="37"/>
      <c r="I25" s="37"/>
      <c r="J25" s="37"/>
      <c r="K25" s="37"/>
      <c r="L25" s="37"/>
      <c r="M25" s="37"/>
    </row>
    <row r="26" spans="1:13">
      <c r="A26" s="24" t="s">
        <v>817</v>
      </c>
      <c r="B26" s="35" t="s">
        <v>823</v>
      </c>
      <c r="C26" s="35"/>
      <c r="D26" s="35"/>
      <c r="E26" s="35"/>
      <c r="F26" s="35"/>
      <c r="G26" s="35"/>
      <c r="H26" s="35"/>
      <c r="I26" s="35"/>
      <c r="J26" s="35"/>
      <c r="K26" s="35"/>
      <c r="L26" s="35"/>
      <c r="M26" s="35"/>
    </row>
    <row r="27" spans="1:13" ht="30" customHeight="1">
      <c r="A27" s="24" t="s">
        <v>841</v>
      </c>
      <c r="B27" s="35" t="s">
        <v>845</v>
      </c>
      <c r="C27" s="35"/>
      <c r="D27" s="35"/>
      <c r="E27" s="35"/>
      <c r="F27" s="35"/>
      <c r="G27" s="35"/>
      <c r="H27" s="35"/>
      <c r="I27" s="35"/>
      <c r="J27" s="35"/>
      <c r="K27" s="35"/>
      <c r="L27" s="35"/>
      <c r="M27" s="35"/>
    </row>
    <row r="28" spans="1:13" ht="63" customHeight="1">
      <c r="A28" s="25" t="s">
        <v>846</v>
      </c>
      <c r="B28" s="35" t="s">
        <v>926</v>
      </c>
      <c r="C28" s="35"/>
      <c r="D28" s="35"/>
      <c r="E28" s="35"/>
      <c r="F28" s="35"/>
      <c r="G28" s="35"/>
      <c r="H28" s="35"/>
      <c r="I28" s="35"/>
      <c r="J28" s="35"/>
      <c r="K28" s="35"/>
      <c r="L28" s="35"/>
      <c r="M28" s="35"/>
    </row>
  </sheetData>
  <mergeCells count="6">
    <mergeCell ref="B28:M28"/>
    <mergeCell ref="F2:M24"/>
    <mergeCell ref="A1:M1"/>
    <mergeCell ref="B25:M25"/>
    <mergeCell ref="B26:M26"/>
    <mergeCell ref="B27:M27"/>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AB77F-3812-D84F-B77D-0C3F9E5E160E}">
  <dimension ref="A1:P22"/>
  <sheetViews>
    <sheetView zoomScale="159" workbookViewId="0">
      <selection sqref="A1:M1"/>
    </sheetView>
  </sheetViews>
  <sheetFormatPr baseColWidth="10" defaultRowHeight="15"/>
  <cols>
    <col min="1" max="1" width="25.1640625" bestFit="1" customWidth="1"/>
    <col min="2" max="2" width="15.83203125" bestFit="1" customWidth="1"/>
    <col min="3" max="3" width="7.1640625" bestFit="1" customWidth="1"/>
    <col min="4" max="5" width="4.1640625" bestFit="1" customWidth="1"/>
    <col min="6" max="6" width="9.1640625" customWidth="1"/>
    <col min="7" max="7" width="9.83203125" customWidth="1"/>
    <col min="8" max="8" width="10" bestFit="1" customWidth="1"/>
  </cols>
  <sheetData>
    <row r="1" spans="1:13" ht="19">
      <c r="A1" s="53" t="s">
        <v>848</v>
      </c>
      <c r="B1" s="54"/>
      <c r="C1" s="54"/>
      <c r="D1" s="54"/>
      <c r="E1" s="54"/>
      <c r="F1" s="54"/>
      <c r="G1" s="54"/>
      <c r="H1" s="54"/>
      <c r="I1" s="54"/>
      <c r="J1" s="54"/>
      <c r="K1" s="54"/>
      <c r="L1" s="54"/>
      <c r="M1" s="54"/>
    </row>
    <row r="2" spans="1:13">
      <c r="G2" s="55"/>
      <c r="H2" s="55"/>
      <c r="I2" s="55"/>
      <c r="J2" s="55"/>
      <c r="K2" s="55"/>
      <c r="L2" s="55"/>
      <c r="M2" s="55"/>
    </row>
    <row r="3" spans="1:13">
      <c r="A3" s="22" t="s">
        <v>854</v>
      </c>
      <c r="C3" s="22" t="s">
        <v>399</v>
      </c>
      <c r="G3" s="56"/>
      <c r="H3" s="56"/>
      <c r="I3" s="56"/>
      <c r="J3" s="56"/>
      <c r="K3" s="56"/>
      <c r="L3" s="56"/>
      <c r="M3" s="56"/>
    </row>
    <row r="4" spans="1:13">
      <c r="A4" s="22" t="s">
        <v>833</v>
      </c>
      <c r="B4" s="22" t="s">
        <v>409</v>
      </c>
      <c r="C4">
        <v>1</v>
      </c>
      <c r="D4">
        <v>2</v>
      </c>
      <c r="E4">
        <v>3</v>
      </c>
      <c r="G4" s="56"/>
      <c r="H4" s="56"/>
      <c r="I4" s="56"/>
      <c r="J4" s="56"/>
      <c r="K4" s="56"/>
      <c r="L4" s="56"/>
      <c r="M4" s="56"/>
    </row>
    <row r="5" spans="1:13">
      <c r="A5">
        <v>5</v>
      </c>
      <c r="B5">
        <v>105</v>
      </c>
      <c r="C5" s="19">
        <v>49</v>
      </c>
      <c r="D5" s="19">
        <v>17</v>
      </c>
      <c r="E5" s="19">
        <v>30</v>
      </c>
      <c r="G5" s="56"/>
      <c r="H5" s="56"/>
      <c r="I5" s="56"/>
      <c r="J5" s="56"/>
      <c r="K5" s="56"/>
      <c r="L5" s="56"/>
      <c r="M5" s="56"/>
    </row>
    <row r="6" spans="1:13">
      <c r="A6">
        <v>6</v>
      </c>
      <c r="B6">
        <v>105</v>
      </c>
      <c r="C6" s="19">
        <v>72</v>
      </c>
      <c r="D6" s="19">
        <v>92</v>
      </c>
      <c r="E6" s="19">
        <v>77</v>
      </c>
      <c r="G6" s="56"/>
      <c r="H6" s="56"/>
      <c r="I6" s="56"/>
      <c r="J6" s="56"/>
      <c r="K6" s="56"/>
      <c r="L6" s="56"/>
      <c r="M6" s="56"/>
    </row>
    <row r="7" spans="1:13">
      <c r="A7">
        <v>7</v>
      </c>
      <c r="B7">
        <v>105</v>
      </c>
      <c r="C7" s="19">
        <v>45</v>
      </c>
      <c r="D7" s="19">
        <v>29</v>
      </c>
      <c r="E7" s="19">
        <v>9</v>
      </c>
      <c r="G7" s="56"/>
      <c r="H7" s="56"/>
      <c r="I7" s="56"/>
      <c r="J7" s="56"/>
      <c r="K7" s="56"/>
      <c r="L7" s="56"/>
      <c r="M7" s="56"/>
    </row>
    <row r="8" spans="1:13">
      <c r="A8">
        <v>8</v>
      </c>
      <c r="B8">
        <v>105</v>
      </c>
      <c r="C8" s="19">
        <v>77</v>
      </c>
      <c r="D8" s="19">
        <v>40</v>
      </c>
      <c r="E8" s="19">
        <v>12</v>
      </c>
      <c r="G8" s="56"/>
      <c r="H8" s="56"/>
      <c r="I8" s="56"/>
      <c r="J8" s="56"/>
      <c r="K8" s="56"/>
      <c r="L8" s="56"/>
      <c r="M8" s="56"/>
    </row>
    <row r="9" spans="1:13">
      <c r="A9">
        <v>9</v>
      </c>
      <c r="B9">
        <v>105</v>
      </c>
      <c r="C9" s="19">
        <v>2</v>
      </c>
      <c r="D9" s="19">
        <v>51</v>
      </c>
      <c r="E9" s="19">
        <v>7</v>
      </c>
      <c r="G9" s="56"/>
      <c r="H9" s="56"/>
      <c r="I9" s="56"/>
      <c r="J9" s="56"/>
      <c r="K9" s="56"/>
      <c r="L9" s="56"/>
      <c r="M9" s="56"/>
    </row>
    <row r="10" spans="1:13">
      <c r="A10" t="s">
        <v>834</v>
      </c>
      <c r="C10" s="19">
        <v>245</v>
      </c>
      <c r="D10" s="19">
        <v>229</v>
      </c>
      <c r="E10" s="19">
        <v>135</v>
      </c>
      <c r="G10" s="56"/>
      <c r="H10" s="56"/>
      <c r="I10" s="56"/>
      <c r="J10" s="56"/>
      <c r="K10" s="56"/>
      <c r="L10" s="56"/>
      <c r="M10" s="56"/>
    </row>
    <row r="11" spans="1:13">
      <c r="G11" s="56"/>
      <c r="H11" s="56"/>
      <c r="I11" s="56"/>
      <c r="J11" s="56"/>
      <c r="K11" s="56"/>
      <c r="L11" s="56"/>
      <c r="M11" s="56"/>
    </row>
    <row r="12" spans="1:13">
      <c r="G12" s="56"/>
      <c r="H12" s="56"/>
      <c r="I12" s="56"/>
      <c r="J12" s="56"/>
      <c r="K12" s="56"/>
      <c r="L12" s="56"/>
      <c r="M12" s="56"/>
    </row>
    <row r="13" spans="1:13">
      <c r="G13" s="56"/>
      <c r="H13" s="56"/>
      <c r="I13" s="56"/>
      <c r="J13" s="56"/>
      <c r="K13" s="56"/>
      <c r="L13" s="56"/>
      <c r="M13" s="56"/>
    </row>
    <row r="14" spans="1:13">
      <c r="G14" s="56"/>
      <c r="H14" s="56"/>
      <c r="I14" s="56"/>
      <c r="J14" s="56"/>
      <c r="K14" s="56"/>
      <c r="L14" s="56"/>
      <c r="M14" s="56"/>
    </row>
    <row r="15" spans="1:13">
      <c r="G15" s="56"/>
      <c r="H15" s="56"/>
      <c r="I15" s="56"/>
      <c r="J15" s="56"/>
      <c r="K15" s="56"/>
      <c r="L15" s="56"/>
      <c r="M15" s="56"/>
    </row>
    <row r="16" spans="1:13">
      <c r="G16" s="56"/>
      <c r="H16" s="56"/>
      <c r="I16" s="56"/>
      <c r="J16" s="56"/>
      <c r="K16" s="56"/>
      <c r="L16" s="56"/>
      <c r="M16" s="56"/>
    </row>
    <row r="17" spans="1:16">
      <c r="G17" s="56"/>
      <c r="H17" s="56"/>
      <c r="I17" s="56"/>
      <c r="J17" s="56"/>
      <c r="K17" s="56"/>
      <c r="L17" s="56"/>
      <c r="M17" s="56"/>
    </row>
    <row r="18" spans="1:16">
      <c r="G18" s="56"/>
      <c r="H18" s="56"/>
      <c r="I18" s="56"/>
      <c r="J18" s="56"/>
      <c r="K18" s="56"/>
      <c r="L18" s="56"/>
      <c r="M18" s="56"/>
    </row>
    <row r="19" spans="1:16">
      <c r="A19" s="24" t="s">
        <v>813</v>
      </c>
      <c r="B19" s="37" t="s">
        <v>849</v>
      </c>
      <c r="C19" s="37"/>
      <c r="D19" s="37"/>
      <c r="E19" s="37"/>
      <c r="F19" s="37"/>
      <c r="G19" s="37"/>
      <c r="H19" s="37"/>
      <c r="I19" s="37"/>
      <c r="J19" s="37"/>
      <c r="K19" s="37"/>
      <c r="L19" s="37"/>
      <c r="M19" s="37"/>
    </row>
    <row r="20" spans="1:16" ht="15" customHeight="1">
      <c r="A20" s="24" t="s">
        <v>817</v>
      </c>
      <c r="B20" s="35" t="s">
        <v>850</v>
      </c>
      <c r="C20" s="35"/>
      <c r="D20" s="35"/>
      <c r="E20" s="35"/>
      <c r="F20" s="35"/>
      <c r="G20" s="35"/>
      <c r="H20" s="35"/>
      <c r="I20" s="35"/>
      <c r="J20" s="35"/>
      <c r="K20" s="35"/>
      <c r="L20" s="35"/>
      <c r="M20" s="35"/>
      <c r="N20" s="7"/>
      <c r="O20" s="7"/>
      <c r="P20" s="7"/>
    </row>
    <row r="21" spans="1:16" ht="34" customHeight="1">
      <c r="A21" s="24" t="s">
        <v>841</v>
      </c>
      <c r="B21" s="35" t="s">
        <v>851</v>
      </c>
      <c r="C21" s="35"/>
      <c r="D21" s="35"/>
      <c r="E21" s="35"/>
      <c r="F21" s="35"/>
      <c r="G21" s="35"/>
      <c r="H21" s="35"/>
      <c r="I21" s="35"/>
      <c r="J21" s="35"/>
      <c r="K21" s="35"/>
      <c r="L21" s="35"/>
      <c r="M21" s="35"/>
    </row>
    <row r="22" spans="1:16" ht="97" customHeight="1">
      <c r="A22" s="25" t="s">
        <v>846</v>
      </c>
      <c r="B22" s="35" t="s">
        <v>927</v>
      </c>
      <c r="C22" s="35"/>
      <c r="D22" s="35"/>
      <c r="E22" s="35"/>
      <c r="F22" s="35"/>
      <c r="G22" s="35"/>
      <c r="H22" s="35"/>
      <c r="I22" s="35"/>
      <c r="J22" s="35"/>
      <c r="K22" s="35"/>
      <c r="L22" s="35"/>
      <c r="M22" s="35"/>
      <c r="N22" s="7"/>
      <c r="O22" s="7"/>
      <c r="P22" s="7"/>
    </row>
  </sheetData>
  <mergeCells count="6">
    <mergeCell ref="B22:M22"/>
    <mergeCell ref="A1:M1"/>
    <mergeCell ref="G2:M18"/>
    <mergeCell ref="B19:M19"/>
    <mergeCell ref="B20:M20"/>
    <mergeCell ref="B21:M2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2B6AF-971E-DC4E-8D36-A3ECB002BEC0}">
  <dimension ref="A1:W35"/>
  <sheetViews>
    <sheetView zoomScale="109" zoomScaleNormal="110" workbookViewId="0">
      <selection sqref="A1:W1"/>
    </sheetView>
  </sheetViews>
  <sheetFormatPr baseColWidth="10" defaultRowHeight="15"/>
  <cols>
    <col min="1" max="1" width="19.33203125" customWidth="1"/>
    <col min="2" max="2" width="8.33203125" customWidth="1"/>
    <col min="3" max="5" width="9.6640625" bestFit="1" customWidth="1"/>
    <col min="6" max="6" width="10.6640625" bestFit="1" customWidth="1"/>
  </cols>
  <sheetData>
    <row r="1" spans="1:23" ht="19">
      <c r="A1" s="50" t="s">
        <v>852</v>
      </c>
      <c r="B1" s="52"/>
      <c r="C1" s="52"/>
      <c r="D1" s="52"/>
      <c r="E1" s="52"/>
      <c r="F1" s="52"/>
      <c r="G1" s="52"/>
      <c r="H1" s="52"/>
      <c r="I1" s="52"/>
      <c r="J1" s="52"/>
      <c r="K1" s="52"/>
      <c r="L1" s="52"/>
      <c r="M1" s="52"/>
      <c r="N1" s="52"/>
      <c r="O1" s="52"/>
      <c r="P1" s="52"/>
      <c r="Q1" s="52"/>
      <c r="R1" s="52"/>
      <c r="S1" s="52"/>
      <c r="T1" s="52"/>
      <c r="U1" s="52"/>
      <c r="V1" s="52"/>
      <c r="W1" s="52"/>
    </row>
    <row r="2" spans="1:23">
      <c r="G2" s="56"/>
      <c r="H2" s="56"/>
      <c r="I2" s="56"/>
      <c r="J2" s="56"/>
      <c r="K2" s="56"/>
      <c r="L2" s="56"/>
      <c r="M2" s="56"/>
      <c r="N2" s="56"/>
      <c r="O2" s="56"/>
      <c r="P2" s="56"/>
      <c r="Q2" s="56"/>
      <c r="R2" s="56"/>
      <c r="S2" s="56"/>
      <c r="T2" s="56"/>
      <c r="U2" s="56"/>
      <c r="V2" s="56"/>
      <c r="W2" s="56"/>
    </row>
    <row r="3" spans="1:23" ht="32">
      <c r="A3" s="26" t="s">
        <v>843</v>
      </c>
      <c r="B3" s="7"/>
      <c r="C3" s="26" t="s">
        <v>399</v>
      </c>
      <c r="D3" s="7"/>
      <c r="E3" s="7"/>
      <c r="F3" s="7"/>
      <c r="G3" s="56"/>
      <c r="H3" s="56"/>
      <c r="I3" s="56"/>
      <c r="J3" s="56"/>
      <c r="K3" s="56"/>
      <c r="L3" s="56"/>
      <c r="M3" s="56"/>
      <c r="N3" s="56"/>
      <c r="O3" s="56"/>
      <c r="P3" s="56"/>
      <c r="Q3" s="56"/>
      <c r="R3" s="56"/>
      <c r="S3" s="56"/>
      <c r="T3" s="56"/>
      <c r="U3" s="56"/>
      <c r="V3" s="56"/>
      <c r="W3" s="56"/>
    </row>
    <row r="4" spans="1:23" ht="32">
      <c r="A4" s="26" t="s">
        <v>398</v>
      </c>
      <c r="B4" s="26" t="s">
        <v>409</v>
      </c>
      <c r="C4" s="7">
        <v>1</v>
      </c>
      <c r="D4" s="7">
        <v>2</v>
      </c>
      <c r="E4" s="7">
        <v>3</v>
      </c>
      <c r="F4" s="7" t="s">
        <v>834</v>
      </c>
      <c r="G4" s="56"/>
      <c r="H4" s="56"/>
      <c r="I4" s="56"/>
      <c r="J4" s="56"/>
      <c r="K4" s="56"/>
      <c r="L4" s="56"/>
      <c r="M4" s="56"/>
      <c r="N4" s="56"/>
      <c r="O4" s="56"/>
      <c r="P4" s="56"/>
      <c r="Q4" s="56"/>
      <c r="R4" s="56"/>
      <c r="S4" s="56"/>
      <c r="T4" s="56"/>
      <c r="U4" s="56"/>
      <c r="V4" s="56"/>
      <c r="W4" s="56"/>
    </row>
    <row r="5" spans="1:23">
      <c r="A5" s="15">
        <v>45323</v>
      </c>
      <c r="B5">
        <v>105</v>
      </c>
      <c r="C5" s="18">
        <v>0</v>
      </c>
      <c r="D5" s="18">
        <v>0</v>
      </c>
      <c r="E5" s="18">
        <v>0</v>
      </c>
      <c r="F5" s="18">
        <v>0</v>
      </c>
      <c r="G5" s="56"/>
      <c r="H5" s="56"/>
      <c r="I5" s="56"/>
      <c r="J5" s="56"/>
      <c r="K5" s="56"/>
      <c r="L5" s="56"/>
      <c r="M5" s="56"/>
      <c r="N5" s="56"/>
      <c r="O5" s="56"/>
      <c r="P5" s="56"/>
      <c r="Q5" s="56"/>
      <c r="R5" s="56"/>
      <c r="S5" s="56"/>
      <c r="T5" s="56"/>
      <c r="U5" s="56"/>
      <c r="V5" s="56"/>
      <c r="W5" s="56"/>
    </row>
    <row r="6" spans="1:23">
      <c r="A6" s="15">
        <v>45324</v>
      </c>
      <c r="B6">
        <v>105</v>
      </c>
      <c r="C6" s="18">
        <v>9080</v>
      </c>
      <c r="D6" s="18">
        <v>17578</v>
      </c>
      <c r="E6" s="18">
        <v>51210</v>
      </c>
      <c r="F6" s="18">
        <v>77868</v>
      </c>
      <c r="G6" s="56"/>
      <c r="H6" s="56"/>
      <c r="I6" s="56"/>
      <c r="J6" s="56"/>
      <c r="K6" s="56"/>
      <c r="L6" s="56"/>
      <c r="M6" s="56"/>
      <c r="N6" s="56"/>
      <c r="O6" s="56"/>
      <c r="P6" s="56"/>
      <c r="Q6" s="56"/>
      <c r="R6" s="56"/>
      <c r="S6" s="56"/>
      <c r="T6" s="56"/>
      <c r="U6" s="56"/>
      <c r="V6" s="56"/>
      <c r="W6" s="56"/>
    </row>
    <row r="7" spans="1:23">
      <c r="A7" s="15">
        <v>45325</v>
      </c>
      <c r="B7">
        <v>105</v>
      </c>
      <c r="C7" s="18">
        <v>101926</v>
      </c>
      <c r="D7" s="18">
        <v>0</v>
      </c>
      <c r="E7" s="18">
        <v>122220</v>
      </c>
      <c r="F7" s="18">
        <v>224146</v>
      </c>
      <c r="G7" s="56"/>
      <c r="H7" s="56"/>
      <c r="I7" s="56"/>
      <c r="J7" s="56"/>
      <c r="K7" s="56"/>
      <c r="L7" s="56"/>
      <c r="M7" s="56"/>
      <c r="N7" s="56"/>
      <c r="O7" s="56"/>
      <c r="P7" s="56"/>
      <c r="Q7" s="56"/>
      <c r="R7" s="56"/>
      <c r="S7" s="56"/>
      <c r="T7" s="56"/>
      <c r="U7" s="56"/>
      <c r="V7" s="56"/>
      <c r="W7" s="56"/>
    </row>
    <row r="8" spans="1:23">
      <c r="A8" s="15">
        <v>45328</v>
      </c>
      <c r="B8">
        <v>105</v>
      </c>
      <c r="C8" s="18">
        <v>0</v>
      </c>
      <c r="D8" s="18">
        <v>0</v>
      </c>
      <c r="E8" s="18">
        <v>0</v>
      </c>
      <c r="F8" s="18">
        <v>0</v>
      </c>
      <c r="G8" s="56"/>
      <c r="H8" s="56"/>
      <c r="I8" s="56"/>
      <c r="J8" s="56"/>
      <c r="K8" s="56"/>
      <c r="L8" s="56"/>
      <c r="M8" s="56"/>
      <c r="N8" s="56"/>
      <c r="O8" s="56"/>
      <c r="P8" s="56"/>
      <c r="Q8" s="56"/>
      <c r="R8" s="56"/>
      <c r="S8" s="56"/>
      <c r="T8" s="56"/>
      <c r="U8" s="56"/>
      <c r="V8" s="56"/>
      <c r="W8" s="56"/>
    </row>
    <row r="9" spans="1:23">
      <c r="A9" s="15">
        <v>45329</v>
      </c>
      <c r="B9">
        <v>105</v>
      </c>
      <c r="C9" s="18">
        <v>30498</v>
      </c>
      <c r="D9" s="18">
        <v>63990</v>
      </c>
      <c r="E9" s="18">
        <v>297648</v>
      </c>
      <c r="F9" s="18">
        <v>392136</v>
      </c>
      <c r="G9" s="56"/>
      <c r="H9" s="56"/>
      <c r="I9" s="56"/>
      <c r="J9" s="56"/>
      <c r="K9" s="56"/>
      <c r="L9" s="56"/>
      <c r="M9" s="56"/>
      <c r="N9" s="56"/>
      <c r="O9" s="56"/>
      <c r="P9" s="56"/>
      <c r="Q9" s="56"/>
      <c r="R9" s="56"/>
      <c r="S9" s="56"/>
      <c r="T9" s="56"/>
      <c r="U9" s="56"/>
      <c r="V9" s="56"/>
      <c r="W9" s="56"/>
    </row>
    <row r="10" spans="1:23">
      <c r="A10" s="15">
        <v>45330</v>
      </c>
      <c r="B10">
        <v>105</v>
      </c>
      <c r="C10" s="18">
        <v>47566</v>
      </c>
      <c r="D10" s="18">
        <v>19171</v>
      </c>
      <c r="E10" s="18">
        <v>89248</v>
      </c>
      <c r="F10" s="18">
        <v>155985</v>
      </c>
      <c r="G10" s="56"/>
      <c r="H10" s="56"/>
      <c r="I10" s="56"/>
      <c r="J10" s="56"/>
      <c r="K10" s="56"/>
      <c r="L10" s="56"/>
      <c r="M10" s="56"/>
      <c r="N10" s="56"/>
      <c r="O10" s="56"/>
      <c r="P10" s="56"/>
      <c r="Q10" s="56"/>
      <c r="R10" s="56"/>
      <c r="S10" s="56"/>
      <c r="T10" s="56"/>
      <c r="U10" s="56"/>
      <c r="V10" s="56"/>
      <c r="W10" s="56"/>
    </row>
    <row r="11" spans="1:23">
      <c r="A11" s="15">
        <v>45331</v>
      </c>
      <c r="B11">
        <v>105</v>
      </c>
      <c r="C11" s="18">
        <v>11765</v>
      </c>
      <c r="D11" s="18">
        <v>30380</v>
      </c>
      <c r="E11" s="18">
        <v>54168</v>
      </c>
      <c r="F11" s="18">
        <v>96313</v>
      </c>
      <c r="G11" s="56"/>
      <c r="H11" s="56"/>
      <c r="I11" s="56"/>
      <c r="J11" s="56"/>
      <c r="K11" s="56"/>
      <c r="L11" s="56"/>
      <c r="M11" s="56"/>
      <c r="N11" s="56"/>
      <c r="O11" s="56"/>
      <c r="P11" s="56"/>
      <c r="Q11" s="56"/>
      <c r="R11" s="56"/>
      <c r="S11" s="56"/>
      <c r="T11" s="56"/>
      <c r="U11" s="56"/>
      <c r="V11" s="56"/>
      <c r="W11" s="56"/>
    </row>
    <row r="12" spans="1:23">
      <c r="A12" s="15">
        <v>45332</v>
      </c>
      <c r="B12">
        <v>105</v>
      </c>
      <c r="C12" s="18">
        <v>51024</v>
      </c>
      <c r="D12" s="18">
        <v>0</v>
      </c>
      <c r="E12" s="18">
        <v>0</v>
      </c>
      <c r="F12" s="18">
        <v>51024</v>
      </c>
      <c r="G12" s="56"/>
      <c r="H12" s="56"/>
      <c r="I12" s="56"/>
      <c r="J12" s="56"/>
      <c r="K12" s="56"/>
      <c r="L12" s="56"/>
      <c r="M12" s="56"/>
      <c r="N12" s="56"/>
      <c r="O12" s="56"/>
      <c r="P12" s="56"/>
      <c r="Q12" s="56"/>
      <c r="R12" s="56"/>
      <c r="S12" s="56"/>
      <c r="T12" s="56"/>
      <c r="U12" s="56"/>
      <c r="V12" s="56"/>
      <c r="W12" s="56"/>
    </row>
    <row r="13" spans="1:23">
      <c r="A13" s="15">
        <v>45335</v>
      </c>
      <c r="B13">
        <v>105</v>
      </c>
      <c r="C13" s="18">
        <v>5290</v>
      </c>
      <c r="D13" s="18">
        <v>0</v>
      </c>
      <c r="E13" s="18">
        <v>0</v>
      </c>
      <c r="F13" s="18">
        <v>5290</v>
      </c>
      <c r="G13" s="56"/>
      <c r="H13" s="56"/>
      <c r="I13" s="56"/>
      <c r="J13" s="56"/>
      <c r="K13" s="56"/>
      <c r="L13" s="56"/>
      <c r="M13" s="56"/>
      <c r="N13" s="56"/>
      <c r="O13" s="56"/>
      <c r="P13" s="56"/>
      <c r="Q13" s="56"/>
      <c r="R13" s="56"/>
      <c r="S13" s="56"/>
      <c r="T13" s="56"/>
      <c r="U13" s="56"/>
      <c r="V13" s="56"/>
      <c r="W13" s="56"/>
    </row>
    <row r="14" spans="1:23">
      <c r="A14" s="15">
        <v>45336</v>
      </c>
      <c r="B14">
        <v>105</v>
      </c>
      <c r="C14" s="18">
        <v>0</v>
      </c>
      <c r="D14" s="18">
        <v>53534</v>
      </c>
      <c r="E14" s="18">
        <v>20460</v>
      </c>
      <c r="F14" s="18">
        <v>73994</v>
      </c>
      <c r="G14" s="56"/>
      <c r="H14" s="56"/>
      <c r="I14" s="56"/>
      <c r="J14" s="56"/>
      <c r="K14" s="56"/>
      <c r="L14" s="56"/>
      <c r="M14" s="56"/>
      <c r="N14" s="56"/>
      <c r="O14" s="56"/>
      <c r="P14" s="56"/>
      <c r="Q14" s="56"/>
      <c r="R14" s="56"/>
      <c r="S14" s="56"/>
      <c r="T14" s="56"/>
      <c r="U14" s="56"/>
      <c r="V14" s="56"/>
      <c r="W14" s="56"/>
    </row>
    <row r="15" spans="1:23">
      <c r="A15" s="15">
        <v>45337</v>
      </c>
      <c r="B15">
        <v>105</v>
      </c>
      <c r="C15" s="18">
        <v>0</v>
      </c>
      <c r="D15" s="18">
        <v>0</v>
      </c>
      <c r="E15" s="18">
        <v>0</v>
      </c>
      <c r="F15" s="18">
        <v>0</v>
      </c>
      <c r="G15" s="56"/>
      <c r="H15" s="56"/>
      <c r="I15" s="56"/>
      <c r="J15" s="56"/>
      <c r="K15" s="56"/>
      <c r="L15" s="56"/>
      <c r="M15" s="56"/>
      <c r="N15" s="56"/>
      <c r="O15" s="56"/>
      <c r="P15" s="56"/>
      <c r="Q15" s="56"/>
      <c r="R15" s="56"/>
      <c r="S15" s="56"/>
      <c r="T15" s="56"/>
      <c r="U15" s="56"/>
      <c r="V15" s="56"/>
      <c r="W15" s="56"/>
    </row>
    <row r="16" spans="1:23">
      <c r="A16" s="15">
        <v>45338</v>
      </c>
      <c r="B16">
        <v>105</v>
      </c>
      <c r="C16" s="18">
        <v>0</v>
      </c>
      <c r="D16" s="18">
        <v>0</v>
      </c>
      <c r="E16" s="18">
        <v>0</v>
      </c>
      <c r="F16" s="18">
        <v>0</v>
      </c>
      <c r="G16" s="56"/>
      <c r="H16" s="56"/>
      <c r="I16" s="56"/>
      <c r="J16" s="56"/>
      <c r="K16" s="56"/>
      <c r="L16" s="56"/>
      <c r="M16" s="56"/>
      <c r="N16" s="56"/>
      <c r="O16" s="56"/>
      <c r="P16" s="56"/>
      <c r="Q16" s="56"/>
      <c r="R16" s="56"/>
      <c r="S16" s="56"/>
      <c r="T16" s="56"/>
      <c r="U16" s="56"/>
      <c r="V16" s="56"/>
      <c r="W16" s="56"/>
    </row>
    <row r="17" spans="1:23">
      <c r="A17" s="15">
        <v>45339</v>
      </c>
      <c r="B17">
        <v>105</v>
      </c>
      <c r="C17" s="18">
        <v>66263</v>
      </c>
      <c r="D17" s="18">
        <v>0</v>
      </c>
      <c r="E17" s="18">
        <v>36300</v>
      </c>
      <c r="F17" s="18">
        <v>102563</v>
      </c>
      <c r="G17" s="56"/>
      <c r="H17" s="56"/>
      <c r="I17" s="56"/>
      <c r="J17" s="56"/>
      <c r="K17" s="56"/>
      <c r="L17" s="56"/>
      <c r="M17" s="56"/>
      <c r="N17" s="56"/>
      <c r="O17" s="56"/>
      <c r="P17" s="56"/>
      <c r="Q17" s="56"/>
      <c r="R17" s="56"/>
      <c r="S17" s="56"/>
      <c r="T17" s="56"/>
      <c r="U17" s="56"/>
      <c r="V17" s="56"/>
      <c r="W17" s="56"/>
    </row>
    <row r="18" spans="1:23">
      <c r="A18" s="15">
        <v>45342</v>
      </c>
      <c r="B18">
        <v>105</v>
      </c>
      <c r="C18" s="18">
        <v>59211</v>
      </c>
      <c r="D18" s="18">
        <v>30569</v>
      </c>
      <c r="E18" s="18">
        <v>110496</v>
      </c>
      <c r="F18" s="18">
        <v>200276</v>
      </c>
      <c r="G18" s="56"/>
      <c r="H18" s="56"/>
      <c r="I18" s="56"/>
      <c r="J18" s="56"/>
      <c r="K18" s="56"/>
      <c r="L18" s="56"/>
      <c r="M18" s="56"/>
      <c r="N18" s="56"/>
      <c r="O18" s="56"/>
      <c r="P18" s="56"/>
      <c r="Q18" s="56"/>
      <c r="R18" s="56"/>
      <c r="S18" s="56"/>
      <c r="T18" s="56"/>
      <c r="U18" s="56"/>
      <c r="V18" s="56"/>
      <c r="W18" s="56"/>
    </row>
    <row r="19" spans="1:23">
      <c r="A19" s="15">
        <v>45343</v>
      </c>
      <c r="B19">
        <v>105</v>
      </c>
      <c r="C19" s="18">
        <v>5936</v>
      </c>
      <c r="D19" s="18">
        <v>17485</v>
      </c>
      <c r="E19" s="18">
        <v>0</v>
      </c>
      <c r="F19" s="18">
        <v>23421</v>
      </c>
      <c r="G19" s="56"/>
      <c r="H19" s="56"/>
      <c r="I19" s="56"/>
      <c r="J19" s="56"/>
      <c r="K19" s="56"/>
      <c r="L19" s="56"/>
      <c r="M19" s="56"/>
      <c r="N19" s="56"/>
      <c r="O19" s="56"/>
      <c r="P19" s="56"/>
      <c r="Q19" s="56"/>
      <c r="R19" s="56"/>
      <c r="S19" s="56"/>
      <c r="T19" s="56"/>
      <c r="U19" s="56"/>
      <c r="V19" s="56"/>
      <c r="W19" s="56"/>
    </row>
    <row r="20" spans="1:23">
      <c r="A20" s="15">
        <v>45344</v>
      </c>
      <c r="B20">
        <v>105</v>
      </c>
      <c r="C20" s="18">
        <v>4160</v>
      </c>
      <c r="D20" s="18">
        <v>12128</v>
      </c>
      <c r="E20" s="18">
        <v>0</v>
      </c>
      <c r="F20" s="18">
        <v>16288</v>
      </c>
      <c r="G20" s="56"/>
      <c r="H20" s="56"/>
      <c r="I20" s="56"/>
      <c r="J20" s="56"/>
      <c r="K20" s="56"/>
      <c r="L20" s="56"/>
      <c r="M20" s="56"/>
      <c r="N20" s="56"/>
      <c r="O20" s="56"/>
      <c r="P20" s="56"/>
      <c r="Q20" s="56"/>
      <c r="R20" s="56"/>
      <c r="S20" s="56"/>
      <c r="T20" s="56"/>
      <c r="U20" s="56"/>
      <c r="V20" s="56"/>
      <c r="W20" s="56"/>
    </row>
    <row r="21" spans="1:23">
      <c r="A21" s="15">
        <v>45345</v>
      </c>
      <c r="B21">
        <v>105</v>
      </c>
      <c r="C21" s="18">
        <v>0</v>
      </c>
      <c r="D21" s="18">
        <v>0</v>
      </c>
      <c r="E21" s="18">
        <v>0</v>
      </c>
      <c r="F21" s="18">
        <v>0</v>
      </c>
      <c r="G21" s="56"/>
      <c r="H21" s="56"/>
      <c r="I21" s="56"/>
      <c r="J21" s="56"/>
      <c r="K21" s="56"/>
      <c r="L21" s="56"/>
      <c r="M21" s="56"/>
      <c r="N21" s="56"/>
      <c r="O21" s="56"/>
      <c r="P21" s="56"/>
      <c r="Q21" s="56"/>
      <c r="R21" s="56"/>
      <c r="S21" s="56"/>
      <c r="T21" s="56"/>
      <c r="U21" s="56"/>
      <c r="V21" s="56"/>
      <c r="W21" s="56"/>
    </row>
    <row r="22" spans="1:23">
      <c r="A22" s="15">
        <v>45346</v>
      </c>
      <c r="B22">
        <v>105</v>
      </c>
      <c r="C22" s="18">
        <v>87900</v>
      </c>
      <c r="D22" s="18">
        <v>18016</v>
      </c>
      <c r="E22" s="18">
        <v>0</v>
      </c>
      <c r="F22" s="18">
        <v>105916</v>
      </c>
      <c r="G22" s="56"/>
      <c r="H22" s="56"/>
      <c r="I22" s="56"/>
      <c r="J22" s="56"/>
      <c r="K22" s="56"/>
      <c r="L22" s="56"/>
      <c r="M22" s="56"/>
      <c r="N22" s="56"/>
      <c r="O22" s="56"/>
      <c r="P22" s="56"/>
      <c r="Q22" s="56"/>
      <c r="R22" s="56"/>
      <c r="S22" s="56"/>
      <c r="T22" s="56"/>
      <c r="U22" s="56"/>
      <c r="V22" s="56"/>
      <c r="W22" s="56"/>
    </row>
    <row r="23" spans="1:23">
      <c r="A23" s="15">
        <v>45349</v>
      </c>
      <c r="B23">
        <v>105</v>
      </c>
      <c r="C23" s="18">
        <v>5366</v>
      </c>
      <c r="D23" s="18">
        <v>0</v>
      </c>
      <c r="E23" s="18">
        <v>0</v>
      </c>
      <c r="F23" s="18">
        <v>5366</v>
      </c>
      <c r="G23" s="56"/>
      <c r="H23" s="56"/>
      <c r="I23" s="56"/>
      <c r="J23" s="56"/>
      <c r="K23" s="56"/>
      <c r="L23" s="56"/>
      <c r="M23" s="56"/>
      <c r="N23" s="56"/>
      <c r="O23" s="56"/>
      <c r="P23" s="56"/>
      <c r="Q23" s="56"/>
      <c r="R23" s="56"/>
      <c r="S23" s="56"/>
      <c r="T23" s="56"/>
      <c r="U23" s="56"/>
      <c r="V23" s="56"/>
      <c r="W23" s="56"/>
    </row>
    <row r="24" spans="1:23">
      <c r="A24" s="15">
        <v>45350</v>
      </c>
      <c r="B24">
        <v>105</v>
      </c>
      <c r="C24" s="18">
        <v>0</v>
      </c>
      <c r="D24" s="18">
        <v>0</v>
      </c>
      <c r="E24" s="18">
        <v>0</v>
      </c>
      <c r="F24" s="18">
        <v>0</v>
      </c>
      <c r="G24" s="56"/>
      <c r="H24" s="56"/>
      <c r="I24" s="56"/>
      <c r="J24" s="56"/>
      <c r="K24" s="56"/>
      <c r="L24" s="56"/>
      <c r="M24" s="56"/>
      <c r="N24" s="56"/>
      <c r="O24" s="56"/>
      <c r="P24" s="56"/>
      <c r="Q24" s="56"/>
      <c r="R24" s="56"/>
      <c r="S24" s="56"/>
      <c r="T24" s="56"/>
      <c r="U24" s="56"/>
      <c r="V24" s="56"/>
      <c r="W24" s="56"/>
    </row>
    <row r="25" spans="1:23">
      <c r="A25" s="15">
        <v>45351</v>
      </c>
      <c r="B25">
        <v>105</v>
      </c>
      <c r="C25" s="18">
        <v>0</v>
      </c>
      <c r="D25" s="18">
        <v>132039</v>
      </c>
      <c r="E25" s="18">
        <v>66766</v>
      </c>
      <c r="F25" s="18">
        <v>198805</v>
      </c>
      <c r="G25" s="56"/>
      <c r="H25" s="56"/>
      <c r="I25" s="56"/>
      <c r="J25" s="56"/>
      <c r="K25" s="56"/>
      <c r="L25" s="56"/>
      <c r="M25" s="56"/>
      <c r="N25" s="56"/>
      <c r="O25" s="56"/>
      <c r="P25" s="56"/>
      <c r="Q25" s="56"/>
      <c r="R25" s="56"/>
      <c r="S25" s="56"/>
      <c r="T25" s="56"/>
      <c r="U25" s="56"/>
      <c r="V25" s="56"/>
      <c r="W25" s="56"/>
    </row>
    <row r="26" spans="1:23">
      <c r="A26" s="15" t="s">
        <v>834</v>
      </c>
      <c r="C26" s="18">
        <v>485985</v>
      </c>
      <c r="D26" s="18">
        <v>394890</v>
      </c>
      <c r="E26" s="18">
        <v>848516</v>
      </c>
      <c r="F26" s="18">
        <v>1729391</v>
      </c>
      <c r="G26" s="56"/>
      <c r="H26" s="56"/>
      <c r="I26" s="56"/>
      <c r="J26" s="56"/>
      <c r="K26" s="56"/>
      <c r="L26" s="56"/>
      <c r="M26" s="56"/>
      <c r="N26" s="56"/>
      <c r="O26" s="56"/>
      <c r="P26" s="56"/>
      <c r="Q26" s="56"/>
      <c r="R26" s="56"/>
      <c r="S26" s="56"/>
      <c r="T26" s="56"/>
      <c r="U26" s="56"/>
      <c r="V26" s="56"/>
      <c r="W26" s="56"/>
    </row>
    <row r="27" spans="1:23">
      <c r="G27" s="56"/>
      <c r="H27" s="56"/>
      <c r="I27" s="56"/>
      <c r="J27" s="56"/>
      <c r="K27" s="56"/>
      <c r="L27" s="56"/>
      <c r="M27" s="56"/>
      <c r="N27" s="56"/>
      <c r="O27" s="56"/>
      <c r="P27" s="56"/>
      <c r="Q27" s="56"/>
      <c r="R27" s="56"/>
      <c r="S27" s="56"/>
      <c r="T27" s="56"/>
      <c r="U27" s="56"/>
      <c r="V27" s="56"/>
      <c r="W27" s="56"/>
    </row>
    <row r="28" spans="1:23">
      <c r="G28" s="56"/>
      <c r="H28" s="56"/>
      <c r="I28" s="56"/>
      <c r="J28" s="56"/>
      <c r="K28" s="56"/>
      <c r="L28" s="56"/>
      <c r="M28" s="56"/>
      <c r="N28" s="56"/>
      <c r="O28" s="56"/>
      <c r="P28" s="56"/>
      <c r="Q28" s="56"/>
      <c r="R28" s="56"/>
      <c r="S28" s="56"/>
      <c r="T28" s="56"/>
      <c r="U28" s="56"/>
      <c r="V28" s="56"/>
      <c r="W28" s="56"/>
    </row>
    <row r="29" spans="1:23">
      <c r="G29" s="56"/>
      <c r="H29" s="56"/>
      <c r="I29" s="56"/>
      <c r="J29" s="56"/>
      <c r="K29" s="56"/>
      <c r="L29" s="56"/>
      <c r="M29" s="56"/>
      <c r="N29" s="56"/>
      <c r="O29" s="56"/>
      <c r="P29" s="56"/>
      <c r="Q29" s="56"/>
      <c r="R29" s="56"/>
      <c r="S29" s="56"/>
      <c r="T29" s="56"/>
      <c r="U29" s="56"/>
      <c r="V29" s="56"/>
      <c r="W29" s="56"/>
    </row>
    <row r="30" spans="1:23">
      <c r="G30" s="56"/>
      <c r="H30" s="56"/>
      <c r="I30" s="56"/>
      <c r="J30" s="56"/>
      <c r="K30" s="56"/>
      <c r="L30" s="56"/>
      <c r="M30" s="56"/>
      <c r="N30" s="56"/>
      <c r="O30" s="56"/>
      <c r="P30" s="56"/>
      <c r="Q30" s="56"/>
      <c r="R30" s="56"/>
      <c r="S30" s="56"/>
      <c r="T30" s="56"/>
      <c r="U30" s="56"/>
      <c r="V30" s="56"/>
      <c r="W30" s="56"/>
    </row>
    <row r="31" spans="1:23">
      <c r="G31" s="57"/>
      <c r="H31" s="57"/>
      <c r="I31" s="57"/>
      <c r="J31" s="57"/>
      <c r="K31" s="57"/>
      <c r="L31" s="57"/>
      <c r="M31" s="57"/>
      <c r="N31" s="56"/>
      <c r="O31" s="56"/>
      <c r="P31" s="56"/>
      <c r="Q31" s="56"/>
      <c r="R31" s="56"/>
      <c r="S31" s="56"/>
      <c r="T31" s="56"/>
      <c r="U31" s="56"/>
      <c r="V31" s="56"/>
      <c r="W31" s="56"/>
    </row>
    <row r="32" spans="1:23">
      <c r="A32" s="30" t="s">
        <v>813</v>
      </c>
      <c r="B32" s="37" t="s">
        <v>824</v>
      </c>
      <c r="C32" s="37"/>
      <c r="D32" s="37"/>
      <c r="E32" s="37"/>
      <c r="F32" s="37"/>
      <c r="G32" s="37"/>
      <c r="H32" s="37"/>
      <c r="I32" s="37"/>
      <c r="J32" s="37"/>
      <c r="K32" s="37"/>
      <c r="L32" s="37"/>
      <c r="M32" s="37"/>
    </row>
    <row r="33" spans="1:23" ht="19" customHeight="1">
      <c r="A33" s="30" t="s">
        <v>817</v>
      </c>
      <c r="B33" s="37" t="s">
        <v>826</v>
      </c>
      <c r="C33" s="37"/>
      <c r="D33" s="37"/>
      <c r="E33" s="37"/>
      <c r="F33" s="37"/>
      <c r="G33" s="37"/>
      <c r="H33" s="37"/>
      <c r="I33" s="37"/>
      <c r="J33" s="37"/>
      <c r="K33" s="37"/>
      <c r="L33" s="37"/>
      <c r="M33" s="37"/>
    </row>
    <row r="34" spans="1:23" ht="34" customHeight="1">
      <c r="A34" s="30" t="s">
        <v>841</v>
      </c>
      <c r="B34" s="35" t="s">
        <v>853</v>
      </c>
      <c r="C34" s="35"/>
      <c r="D34" s="35"/>
      <c r="E34" s="35"/>
      <c r="F34" s="35"/>
      <c r="G34" s="35"/>
      <c r="H34" s="35"/>
      <c r="I34" s="35"/>
      <c r="J34" s="35"/>
      <c r="K34" s="35"/>
      <c r="L34" s="35"/>
      <c r="M34" s="35"/>
    </row>
    <row r="35" spans="1:23" ht="92" customHeight="1">
      <c r="A35" s="32" t="s">
        <v>846</v>
      </c>
      <c r="B35" s="35" t="s">
        <v>928</v>
      </c>
      <c r="C35" s="35"/>
      <c r="D35" s="35"/>
      <c r="E35" s="35"/>
      <c r="F35" s="35"/>
      <c r="G35" s="35"/>
      <c r="H35" s="35"/>
      <c r="I35" s="35"/>
      <c r="J35" s="35"/>
      <c r="K35" s="35"/>
      <c r="L35" s="35"/>
      <c r="M35" s="35"/>
      <c r="N35" s="7"/>
      <c r="O35" s="7"/>
      <c r="P35" s="7"/>
      <c r="Q35" s="7"/>
      <c r="R35" s="7"/>
      <c r="S35" s="7"/>
      <c r="T35" s="7"/>
      <c r="U35" s="7"/>
      <c r="V35" s="7"/>
      <c r="W35" s="7"/>
    </row>
  </sheetData>
  <mergeCells count="6">
    <mergeCell ref="B35:M35"/>
    <mergeCell ref="A1:W1"/>
    <mergeCell ref="G2:W31"/>
    <mergeCell ref="B32:M32"/>
    <mergeCell ref="B33:M33"/>
    <mergeCell ref="B34:M34"/>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1606B-0E6B-1041-815E-E7FE9A415480}">
  <dimension ref="A1:W31"/>
  <sheetViews>
    <sheetView workbookViewId="0">
      <selection sqref="A1:W1"/>
    </sheetView>
  </sheetViews>
  <sheetFormatPr baseColWidth="10" defaultRowHeight="15"/>
  <cols>
    <col min="1" max="1" width="19" bestFit="1" customWidth="1"/>
    <col min="2" max="2" width="9.5" customWidth="1"/>
    <col min="3" max="3" width="5.1640625" customWidth="1"/>
    <col min="4" max="4" width="4.5" customWidth="1"/>
    <col min="5" max="5" width="4.33203125" customWidth="1"/>
    <col min="6" max="6" width="7.1640625" customWidth="1"/>
  </cols>
  <sheetData>
    <row r="1" spans="1:23" ht="19">
      <c r="A1" s="53" t="s">
        <v>855</v>
      </c>
      <c r="B1" s="56"/>
      <c r="C1" s="56"/>
      <c r="D1" s="56"/>
      <c r="E1" s="56"/>
      <c r="F1" s="56"/>
      <c r="G1" s="56"/>
      <c r="H1" s="56"/>
      <c r="I1" s="56"/>
      <c r="J1" s="56"/>
      <c r="K1" s="56"/>
      <c r="L1" s="56"/>
      <c r="M1" s="56"/>
      <c r="N1" s="56"/>
      <c r="O1" s="56"/>
      <c r="P1" s="56"/>
      <c r="Q1" s="56"/>
      <c r="R1" s="56"/>
      <c r="S1" s="56"/>
      <c r="T1" s="56"/>
      <c r="U1" s="56"/>
      <c r="V1" s="56"/>
      <c r="W1" s="56"/>
    </row>
    <row r="2" spans="1:23">
      <c r="G2" s="56"/>
      <c r="H2" s="56"/>
      <c r="I2" s="56"/>
      <c r="J2" s="56"/>
      <c r="K2" s="56"/>
      <c r="L2" s="56"/>
      <c r="M2" s="56"/>
      <c r="N2" s="56"/>
      <c r="O2" s="56"/>
      <c r="P2" s="56"/>
      <c r="Q2" s="56"/>
      <c r="R2" s="56"/>
      <c r="S2" s="56"/>
      <c r="T2" s="56"/>
      <c r="U2" s="56"/>
      <c r="V2" s="56"/>
      <c r="W2" s="56"/>
    </row>
    <row r="3" spans="1:23" ht="16">
      <c r="A3" s="26" t="s">
        <v>854</v>
      </c>
      <c r="B3" s="7"/>
      <c r="C3" s="26" t="s">
        <v>399</v>
      </c>
      <c r="D3" s="7"/>
      <c r="E3" s="7"/>
      <c r="F3" s="7"/>
      <c r="G3" s="56"/>
      <c r="H3" s="56"/>
      <c r="I3" s="56"/>
      <c r="J3" s="56"/>
      <c r="K3" s="56"/>
      <c r="L3" s="56"/>
      <c r="M3" s="56"/>
      <c r="N3" s="56"/>
      <c r="O3" s="56"/>
      <c r="P3" s="56"/>
      <c r="Q3" s="56"/>
      <c r="R3" s="56"/>
      <c r="S3" s="56"/>
      <c r="T3" s="56"/>
      <c r="U3" s="56"/>
      <c r="V3" s="56"/>
      <c r="W3" s="56"/>
    </row>
    <row r="4" spans="1:23" ht="32">
      <c r="A4" s="26" t="s">
        <v>398</v>
      </c>
      <c r="B4" s="26" t="s">
        <v>409</v>
      </c>
      <c r="C4" s="7">
        <v>1</v>
      </c>
      <c r="D4" s="7">
        <v>2</v>
      </c>
      <c r="E4" s="7">
        <v>3</v>
      </c>
      <c r="F4" s="7" t="s">
        <v>834</v>
      </c>
      <c r="G4" s="56"/>
      <c r="H4" s="56"/>
      <c r="I4" s="56"/>
      <c r="J4" s="56"/>
      <c r="K4" s="56"/>
      <c r="L4" s="56"/>
      <c r="M4" s="56"/>
      <c r="N4" s="56"/>
      <c r="O4" s="56"/>
      <c r="P4" s="56"/>
      <c r="Q4" s="56"/>
      <c r="R4" s="56"/>
      <c r="S4" s="56"/>
      <c r="T4" s="56"/>
      <c r="U4" s="56"/>
      <c r="V4" s="56"/>
      <c r="W4" s="56"/>
    </row>
    <row r="5" spans="1:23">
      <c r="A5" s="15">
        <v>45323</v>
      </c>
      <c r="B5">
        <v>105</v>
      </c>
      <c r="C5">
        <v>0</v>
      </c>
      <c r="D5">
        <v>0</v>
      </c>
      <c r="E5">
        <v>0</v>
      </c>
      <c r="F5">
        <v>0</v>
      </c>
      <c r="G5" s="56"/>
      <c r="H5" s="56"/>
      <c r="I5" s="56"/>
      <c r="J5" s="56"/>
      <c r="K5" s="56"/>
      <c r="L5" s="56"/>
      <c r="M5" s="56"/>
      <c r="N5" s="56"/>
      <c r="O5" s="56"/>
      <c r="P5" s="56"/>
      <c r="Q5" s="56"/>
      <c r="R5" s="56"/>
      <c r="S5" s="56"/>
      <c r="T5" s="56"/>
      <c r="U5" s="56"/>
      <c r="V5" s="56"/>
      <c r="W5" s="56"/>
    </row>
    <row r="6" spans="1:23">
      <c r="A6" s="15">
        <v>45324</v>
      </c>
      <c r="B6">
        <v>105</v>
      </c>
      <c r="C6">
        <v>8</v>
      </c>
      <c r="D6">
        <v>17</v>
      </c>
      <c r="E6">
        <v>10</v>
      </c>
      <c r="F6">
        <v>35</v>
      </c>
      <c r="G6" s="56"/>
      <c r="H6" s="56"/>
      <c r="I6" s="56"/>
      <c r="J6" s="56"/>
      <c r="K6" s="56"/>
      <c r="L6" s="56"/>
      <c r="M6" s="56"/>
      <c r="N6" s="56"/>
      <c r="O6" s="56"/>
      <c r="P6" s="56"/>
      <c r="Q6" s="56"/>
      <c r="R6" s="56"/>
      <c r="S6" s="56"/>
      <c r="T6" s="56"/>
      <c r="U6" s="56"/>
      <c r="V6" s="56"/>
      <c r="W6" s="56"/>
    </row>
    <row r="7" spans="1:23">
      <c r="A7" s="15">
        <v>45325</v>
      </c>
      <c r="B7">
        <v>105</v>
      </c>
      <c r="C7">
        <v>41</v>
      </c>
      <c r="D7">
        <v>0</v>
      </c>
      <c r="E7">
        <v>20</v>
      </c>
      <c r="F7">
        <v>61</v>
      </c>
      <c r="G7" s="56"/>
      <c r="H7" s="56"/>
      <c r="I7" s="56"/>
      <c r="J7" s="56"/>
      <c r="K7" s="56"/>
      <c r="L7" s="56"/>
      <c r="M7" s="56"/>
      <c r="N7" s="56"/>
      <c r="O7" s="56"/>
      <c r="P7" s="56"/>
      <c r="Q7" s="56"/>
      <c r="R7" s="56"/>
      <c r="S7" s="56"/>
      <c r="T7" s="56"/>
      <c r="U7" s="56"/>
      <c r="V7" s="56"/>
      <c r="W7" s="56"/>
    </row>
    <row r="8" spans="1:23">
      <c r="A8" s="15">
        <v>45328</v>
      </c>
      <c r="B8">
        <v>105</v>
      </c>
      <c r="C8">
        <v>0</v>
      </c>
      <c r="D8">
        <v>0</v>
      </c>
      <c r="E8">
        <v>0</v>
      </c>
      <c r="F8">
        <v>0</v>
      </c>
      <c r="G8" s="56"/>
      <c r="H8" s="56"/>
      <c r="I8" s="56"/>
      <c r="J8" s="56"/>
      <c r="K8" s="56"/>
      <c r="L8" s="56"/>
      <c r="M8" s="56"/>
      <c r="N8" s="56"/>
      <c r="O8" s="56"/>
      <c r="P8" s="56"/>
      <c r="Q8" s="56"/>
      <c r="R8" s="56"/>
      <c r="S8" s="56"/>
      <c r="T8" s="56"/>
      <c r="U8" s="56"/>
      <c r="V8" s="56"/>
      <c r="W8" s="56"/>
    </row>
    <row r="9" spans="1:23">
      <c r="A9" s="15">
        <v>45329</v>
      </c>
      <c r="B9">
        <v>105</v>
      </c>
      <c r="C9">
        <v>26</v>
      </c>
      <c r="D9">
        <v>45</v>
      </c>
      <c r="E9">
        <v>53</v>
      </c>
      <c r="F9">
        <v>124</v>
      </c>
      <c r="G9" s="56"/>
      <c r="H9" s="56"/>
      <c r="I9" s="56"/>
      <c r="J9" s="56"/>
      <c r="K9" s="56"/>
      <c r="L9" s="56"/>
      <c r="M9" s="56"/>
      <c r="N9" s="56"/>
      <c r="O9" s="56"/>
      <c r="P9" s="56"/>
      <c r="Q9" s="56"/>
      <c r="R9" s="56"/>
      <c r="S9" s="56"/>
      <c r="T9" s="56"/>
      <c r="U9" s="56"/>
      <c r="V9" s="56"/>
      <c r="W9" s="56"/>
    </row>
    <row r="10" spans="1:23">
      <c r="A10" s="15">
        <v>45330</v>
      </c>
      <c r="B10">
        <v>105</v>
      </c>
      <c r="C10">
        <v>17</v>
      </c>
      <c r="D10">
        <v>19</v>
      </c>
      <c r="E10">
        <v>16</v>
      </c>
      <c r="F10">
        <v>52</v>
      </c>
      <c r="G10" s="56"/>
      <c r="H10" s="56"/>
      <c r="I10" s="56"/>
      <c r="J10" s="56"/>
      <c r="K10" s="56"/>
      <c r="L10" s="56"/>
      <c r="M10" s="56"/>
      <c r="N10" s="56"/>
      <c r="O10" s="56"/>
      <c r="P10" s="56"/>
      <c r="Q10" s="56"/>
      <c r="R10" s="56"/>
      <c r="S10" s="56"/>
      <c r="T10" s="56"/>
      <c r="U10" s="56"/>
      <c r="V10" s="56"/>
      <c r="W10" s="56"/>
    </row>
    <row r="11" spans="1:23">
      <c r="A11" s="15">
        <v>45331</v>
      </c>
      <c r="B11">
        <v>105</v>
      </c>
      <c r="C11">
        <v>5</v>
      </c>
      <c r="D11">
        <v>28</v>
      </c>
      <c r="E11">
        <v>8</v>
      </c>
      <c r="F11">
        <v>41</v>
      </c>
      <c r="G11" s="56"/>
      <c r="H11" s="56"/>
      <c r="I11" s="56"/>
      <c r="J11" s="56"/>
      <c r="K11" s="56"/>
      <c r="L11" s="56"/>
      <c r="M11" s="56"/>
      <c r="N11" s="56"/>
      <c r="O11" s="56"/>
      <c r="P11" s="56"/>
      <c r="Q11" s="56"/>
      <c r="R11" s="56"/>
      <c r="S11" s="56"/>
      <c r="T11" s="56"/>
      <c r="U11" s="56"/>
      <c r="V11" s="56"/>
      <c r="W11" s="56"/>
    </row>
    <row r="12" spans="1:23">
      <c r="A12" s="15">
        <v>45332</v>
      </c>
      <c r="B12">
        <v>105</v>
      </c>
      <c r="C12">
        <v>24</v>
      </c>
      <c r="D12">
        <v>0</v>
      </c>
      <c r="E12">
        <v>0</v>
      </c>
      <c r="F12">
        <v>24</v>
      </c>
      <c r="G12" s="56"/>
      <c r="H12" s="56"/>
      <c r="I12" s="56"/>
      <c r="J12" s="56"/>
      <c r="K12" s="56"/>
      <c r="L12" s="56"/>
      <c r="M12" s="56"/>
      <c r="N12" s="56"/>
      <c r="O12" s="56"/>
      <c r="P12" s="56"/>
      <c r="Q12" s="56"/>
      <c r="R12" s="56"/>
      <c r="S12" s="56"/>
      <c r="T12" s="56"/>
      <c r="U12" s="56"/>
      <c r="V12" s="56"/>
      <c r="W12" s="56"/>
    </row>
    <row r="13" spans="1:23">
      <c r="A13" s="15">
        <v>45335</v>
      </c>
      <c r="B13">
        <v>105</v>
      </c>
      <c r="C13">
        <v>2</v>
      </c>
      <c r="D13">
        <v>0</v>
      </c>
      <c r="E13">
        <v>0</v>
      </c>
      <c r="F13">
        <v>2</v>
      </c>
      <c r="G13" s="56"/>
      <c r="H13" s="56"/>
      <c r="I13" s="56"/>
      <c r="J13" s="56"/>
      <c r="K13" s="56"/>
      <c r="L13" s="56"/>
      <c r="M13" s="56"/>
      <c r="N13" s="56"/>
      <c r="O13" s="56"/>
      <c r="P13" s="56"/>
      <c r="Q13" s="56"/>
      <c r="R13" s="56"/>
      <c r="S13" s="56"/>
      <c r="T13" s="56"/>
      <c r="U13" s="56"/>
      <c r="V13" s="56"/>
      <c r="W13" s="56"/>
    </row>
    <row r="14" spans="1:23">
      <c r="A14" s="15">
        <v>45336</v>
      </c>
      <c r="B14">
        <v>105</v>
      </c>
      <c r="C14">
        <v>0</v>
      </c>
      <c r="D14">
        <v>29</v>
      </c>
      <c r="E14">
        <v>4</v>
      </c>
      <c r="F14">
        <v>33</v>
      </c>
      <c r="G14" s="56"/>
      <c r="H14" s="56"/>
      <c r="I14" s="56"/>
      <c r="J14" s="56"/>
      <c r="K14" s="56"/>
      <c r="L14" s="56"/>
      <c r="M14" s="56"/>
      <c r="N14" s="56"/>
      <c r="O14" s="56"/>
      <c r="P14" s="56"/>
      <c r="Q14" s="56"/>
      <c r="R14" s="56"/>
      <c r="S14" s="56"/>
      <c r="T14" s="56"/>
      <c r="U14" s="56"/>
      <c r="V14" s="56"/>
      <c r="W14" s="56"/>
    </row>
    <row r="15" spans="1:23">
      <c r="A15" s="15">
        <v>45337</v>
      </c>
      <c r="B15">
        <v>105</v>
      </c>
      <c r="C15">
        <v>0</v>
      </c>
      <c r="D15">
        <v>0</v>
      </c>
      <c r="E15">
        <v>0</v>
      </c>
      <c r="F15">
        <v>0</v>
      </c>
      <c r="G15" s="56"/>
      <c r="H15" s="56"/>
      <c r="I15" s="56"/>
      <c r="J15" s="56"/>
      <c r="K15" s="56"/>
      <c r="L15" s="56"/>
      <c r="M15" s="56"/>
      <c r="N15" s="56"/>
      <c r="O15" s="56"/>
      <c r="P15" s="56"/>
      <c r="Q15" s="56"/>
      <c r="R15" s="56"/>
      <c r="S15" s="56"/>
      <c r="T15" s="56"/>
      <c r="U15" s="56"/>
      <c r="V15" s="56"/>
      <c r="W15" s="56"/>
    </row>
    <row r="16" spans="1:23">
      <c r="A16" s="15">
        <v>45338</v>
      </c>
      <c r="B16">
        <v>105</v>
      </c>
      <c r="C16">
        <v>0</v>
      </c>
      <c r="D16">
        <v>0</v>
      </c>
      <c r="E16">
        <v>0</v>
      </c>
      <c r="F16">
        <v>0</v>
      </c>
      <c r="G16" s="56"/>
      <c r="H16" s="56"/>
      <c r="I16" s="56"/>
      <c r="J16" s="56"/>
      <c r="K16" s="56"/>
      <c r="L16" s="56"/>
      <c r="M16" s="56"/>
      <c r="N16" s="56"/>
      <c r="O16" s="56"/>
      <c r="P16" s="56"/>
      <c r="Q16" s="56"/>
      <c r="R16" s="56"/>
      <c r="S16" s="56"/>
      <c r="T16" s="56"/>
      <c r="U16" s="56"/>
      <c r="V16" s="56"/>
      <c r="W16" s="56"/>
    </row>
    <row r="17" spans="1:23">
      <c r="A17" s="15">
        <v>45339</v>
      </c>
      <c r="B17">
        <v>105</v>
      </c>
      <c r="C17">
        <v>43</v>
      </c>
      <c r="D17">
        <v>0</v>
      </c>
      <c r="E17">
        <v>5</v>
      </c>
      <c r="F17">
        <v>48</v>
      </c>
      <c r="G17" s="56"/>
      <c r="H17" s="56"/>
      <c r="I17" s="56"/>
      <c r="J17" s="56"/>
      <c r="K17" s="56"/>
      <c r="L17" s="56"/>
      <c r="M17" s="56"/>
      <c r="N17" s="56"/>
      <c r="O17" s="56"/>
      <c r="P17" s="56"/>
      <c r="Q17" s="56"/>
      <c r="R17" s="56"/>
      <c r="S17" s="56"/>
      <c r="T17" s="56"/>
      <c r="U17" s="56"/>
      <c r="V17" s="56"/>
      <c r="W17" s="56"/>
    </row>
    <row r="18" spans="1:23">
      <c r="A18" s="15">
        <v>45342</v>
      </c>
      <c r="B18">
        <v>105</v>
      </c>
      <c r="C18">
        <v>43</v>
      </c>
      <c r="D18">
        <v>11</v>
      </c>
      <c r="E18">
        <v>12</v>
      </c>
      <c r="F18">
        <v>66</v>
      </c>
      <c r="G18" s="56"/>
      <c r="H18" s="56"/>
      <c r="I18" s="56"/>
      <c r="J18" s="56"/>
      <c r="K18" s="56"/>
      <c r="L18" s="56"/>
      <c r="M18" s="56"/>
      <c r="N18" s="56"/>
      <c r="O18" s="56"/>
      <c r="P18" s="56"/>
      <c r="Q18" s="56"/>
      <c r="R18" s="56"/>
      <c r="S18" s="56"/>
      <c r="T18" s="56"/>
      <c r="U18" s="56"/>
      <c r="V18" s="56"/>
      <c r="W18" s="56"/>
    </row>
    <row r="19" spans="1:23">
      <c r="A19" s="15">
        <v>45343</v>
      </c>
      <c r="B19">
        <v>105</v>
      </c>
      <c r="C19">
        <v>2</v>
      </c>
      <c r="D19">
        <v>13</v>
      </c>
      <c r="E19">
        <v>0</v>
      </c>
      <c r="F19">
        <v>15</v>
      </c>
      <c r="G19" s="56"/>
      <c r="H19" s="56"/>
      <c r="I19" s="56"/>
      <c r="J19" s="56"/>
      <c r="K19" s="56"/>
      <c r="L19" s="56"/>
      <c r="M19" s="56"/>
      <c r="N19" s="56"/>
      <c r="O19" s="56"/>
      <c r="P19" s="56"/>
      <c r="Q19" s="56"/>
      <c r="R19" s="56"/>
      <c r="S19" s="56"/>
      <c r="T19" s="56"/>
      <c r="U19" s="56"/>
      <c r="V19" s="56"/>
      <c r="W19" s="56"/>
    </row>
    <row r="20" spans="1:23">
      <c r="A20" s="15">
        <v>45344</v>
      </c>
      <c r="B20">
        <v>105</v>
      </c>
      <c r="C20">
        <v>2</v>
      </c>
      <c r="D20">
        <v>8</v>
      </c>
      <c r="E20">
        <v>0</v>
      </c>
      <c r="F20">
        <v>10</v>
      </c>
      <c r="G20" s="56"/>
      <c r="H20" s="56"/>
      <c r="I20" s="56"/>
      <c r="J20" s="56"/>
      <c r="K20" s="56"/>
      <c r="L20" s="56"/>
      <c r="M20" s="56"/>
      <c r="N20" s="56"/>
      <c r="O20" s="56"/>
      <c r="P20" s="56"/>
      <c r="Q20" s="56"/>
      <c r="R20" s="56"/>
      <c r="S20" s="56"/>
      <c r="T20" s="56"/>
      <c r="U20" s="56"/>
      <c r="V20" s="56"/>
      <c r="W20" s="56"/>
    </row>
    <row r="21" spans="1:23">
      <c r="A21" s="15">
        <v>45345</v>
      </c>
      <c r="B21">
        <v>105</v>
      </c>
      <c r="C21">
        <v>0</v>
      </c>
      <c r="D21">
        <v>0</v>
      </c>
      <c r="E21">
        <v>0</v>
      </c>
      <c r="F21">
        <v>0</v>
      </c>
      <c r="G21" s="56"/>
      <c r="H21" s="56"/>
      <c r="I21" s="56"/>
      <c r="J21" s="56"/>
      <c r="K21" s="56"/>
      <c r="L21" s="56"/>
      <c r="M21" s="56"/>
      <c r="N21" s="56"/>
      <c r="O21" s="56"/>
      <c r="P21" s="56"/>
      <c r="Q21" s="56"/>
      <c r="R21" s="56"/>
      <c r="S21" s="56"/>
      <c r="T21" s="56"/>
      <c r="U21" s="56"/>
      <c r="V21" s="56"/>
      <c r="W21" s="56"/>
    </row>
    <row r="22" spans="1:23">
      <c r="A22" s="15">
        <v>45346</v>
      </c>
      <c r="B22">
        <v>105</v>
      </c>
      <c r="C22">
        <v>30</v>
      </c>
      <c r="D22">
        <v>8</v>
      </c>
      <c r="E22">
        <v>0</v>
      </c>
      <c r="F22">
        <v>38</v>
      </c>
      <c r="G22" s="56"/>
      <c r="H22" s="56"/>
      <c r="I22" s="56"/>
      <c r="J22" s="56"/>
      <c r="K22" s="56"/>
      <c r="L22" s="56"/>
      <c r="M22" s="56"/>
      <c r="N22" s="56"/>
      <c r="O22" s="56"/>
      <c r="P22" s="56"/>
      <c r="Q22" s="56"/>
      <c r="R22" s="56"/>
      <c r="S22" s="56"/>
      <c r="T22" s="56"/>
      <c r="U22" s="56"/>
      <c r="V22" s="56"/>
      <c r="W22" s="56"/>
    </row>
    <row r="23" spans="1:23">
      <c r="A23" s="15">
        <v>45349</v>
      </c>
      <c r="B23">
        <v>105</v>
      </c>
      <c r="C23">
        <v>2</v>
      </c>
      <c r="D23">
        <v>0</v>
      </c>
      <c r="E23">
        <v>0</v>
      </c>
      <c r="F23">
        <v>2</v>
      </c>
      <c r="G23" s="56"/>
      <c r="H23" s="56"/>
      <c r="I23" s="56"/>
      <c r="J23" s="56"/>
      <c r="K23" s="56"/>
      <c r="L23" s="56"/>
      <c r="M23" s="56"/>
      <c r="N23" s="56"/>
      <c r="O23" s="56"/>
      <c r="P23" s="56"/>
      <c r="Q23" s="56"/>
      <c r="R23" s="56"/>
      <c r="S23" s="56"/>
      <c r="T23" s="56"/>
      <c r="U23" s="56"/>
      <c r="V23" s="56"/>
      <c r="W23" s="56"/>
    </row>
    <row r="24" spans="1:23">
      <c r="A24" s="15">
        <v>45350</v>
      </c>
      <c r="B24">
        <v>105</v>
      </c>
      <c r="C24">
        <v>0</v>
      </c>
      <c r="D24">
        <v>0</v>
      </c>
      <c r="E24">
        <v>0</v>
      </c>
      <c r="F24">
        <v>0</v>
      </c>
      <c r="G24" s="56"/>
      <c r="H24" s="56"/>
      <c r="I24" s="56"/>
      <c r="J24" s="56"/>
      <c r="K24" s="56"/>
      <c r="L24" s="56"/>
      <c r="M24" s="56"/>
      <c r="N24" s="56"/>
      <c r="O24" s="56"/>
      <c r="P24" s="56"/>
      <c r="Q24" s="56"/>
      <c r="R24" s="56"/>
      <c r="S24" s="56"/>
      <c r="T24" s="56"/>
      <c r="U24" s="56"/>
      <c r="V24" s="56"/>
      <c r="W24" s="56"/>
    </row>
    <row r="25" spans="1:23">
      <c r="A25" s="15">
        <v>45351</v>
      </c>
      <c r="B25">
        <v>105</v>
      </c>
      <c r="C25">
        <v>0</v>
      </c>
      <c r="D25">
        <v>51</v>
      </c>
      <c r="E25">
        <v>7</v>
      </c>
      <c r="F25">
        <v>58</v>
      </c>
      <c r="G25" s="56"/>
      <c r="H25" s="56"/>
      <c r="I25" s="56"/>
      <c r="J25" s="56"/>
      <c r="K25" s="56"/>
      <c r="L25" s="56"/>
      <c r="M25" s="56"/>
      <c r="N25" s="56"/>
      <c r="O25" s="56"/>
      <c r="P25" s="56"/>
      <c r="Q25" s="56"/>
      <c r="R25" s="56"/>
      <c r="S25" s="56"/>
      <c r="T25" s="56"/>
      <c r="U25" s="56"/>
      <c r="V25" s="56"/>
      <c r="W25" s="56"/>
    </row>
    <row r="26" spans="1:23">
      <c r="A26" s="15" t="s">
        <v>834</v>
      </c>
      <c r="C26">
        <v>245</v>
      </c>
      <c r="D26">
        <v>229</v>
      </c>
      <c r="E26">
        <v>135</v>
      </c>
      <c r="F26">
        <v>609</v>
      </c>
      <c r="G26" s="56"/>
      <c r="H26" s="56"/>
      <c r="I26" s="56"/>
      <c r="J26" s="56"/>
      <c r="K26" s="56"/>
      <c r="L26" s="56"/>
      <c r="M26" s="56"/>
      <c r="N26" s="56"/>
      <c r="O26" s="56"/>
      <c r="P26" s="56"/>
      <c r="Q26" s="56"/>
      <c r="R26" s="56"/>
      <c r="S26" s="56"/>
      <c r="T26" s="56"/>
      <c r="U26" s="56"/>
      <c r="V26" s="56"/>
      <c r="W26" s="56"/>
    </row>
    <row r="27" spans="1:23">
      <c r="G27" s="56"/>
      <c r="H27" s="56"/>
      <c r="I27" s="56"/>
      <c r="J27" s="56"/>
      <c r="K27" s="56"/>
      <c r="L27" s="56"/>
      <c r="M27" s="56"/>
      <c r="N27" s="56"/>
      <c r="O27" s="56"/>
      <c r="P27" s="56"/>
      <c r="Q27" s="56"/>
      <c r="R27" s="56"/>
      <c r="S27" s="56"/>
      <c r="T27" s="56"/>
      <c r="U27" s="56"/>
      <c r="V27" s="56"/>
      <c r="W27" s="56"/>
    </row>
    <row r="28" spans="1:23">
      <c r="A28" s="30" t="s">
        <v>813</v>
      </c>
      <c r="B28" s="37" t="s">
        <v>828</v>
      </c>
      <c r="C28" s="37"/>
      <c r="D28" s="37"/>
      <c r="E28" s="37"/>
      <c r="F28" s="37"/>
      <c r="G28" s="58"/>
      <c r="H28" s="58"/>
      <c r="I28" s="58"/>
      <c r="J28" s="58"/>
      <c r="K28" s="58"/>
      <c r="L28" s="58"/>
    </row>
    <row r="29" spans="1:23">
      <c r="A29" s="30" t="s">
        <v>817</v>
      </c>
      <c r="B29" s="37" t="s">
        <v>829</v>
      </c>
      <c r="C29" s="37"/>
      <c r="D29" s="37"/>
      <c r="E29" s="37"/>
      <c r="F29" s="37"/>
      <c r="G29" s="37"/>
      <c r="H29" s="37"/>
      <c r="I29" s="37"/>
      <c r="J29" s="37"/>
      <c r="K29" s="37"/>
      <c r="L29" s="37"/>
    </row>
    <row r="30" spans="1:23" ht="49" customHeight="1">
      <c r="A30" s="30" t="s">
        <v>841</v>
      </c>
      <c r="B30" s="35" t="s">
        <v>859</v>
      </c>
      <c r="C30" s="35"/>
      <c r="D30" s="35"/>
      <c r="E30" s="35"/>
      <c r="F30" s="35"/>
      <c r="G30" s="35"/>
      <c r="H30" s="35"/>
      <c r="I30" s="35"/>
      <c r="J30" s="35"/>
      <c r="K30" s="35"/>
      <c r="L30" s="35"/>
    </row>
    <row r="31" spans="1:23" ht="94" customHeight="1">
      <c r="A31" s="32" t="s">
        <v>846</v>
      </c>
      <c r="B31" s="35" t="s">
        <v>929</v>
      </c>
      <c r="C31" s="35"/>
      <c r="D31" s="35"/>
      <c r="E31" s="35"/>
      <c r="F31" s="35"/>
      <c r="G31" s="35"/>
      <c r="H31" s="35"/>
      <c r="I31" s="35"/>
      <c r="J31" s="35"/>
      <c r="K31" s="35"/>
      <c r="L31" s="35"/>
      <c r="M31" s="7"/>
      <c r="N31" s="7"/>
      <c r="O31" s="7"/>
      <c r="P31" s="7"/>
      <c r="Q31" s="7"/>
      <c r="R31" s="7"/>
      <c r="S31" s="7"/>
      <c r="T31" s="7"/>
      <c r="U31" s="7"/>
      <c r="V31" s="7"/>
      <c r="W31" s="7"/>
    </row>
  </sheetData>
  <mergeCells count="6">
    <mergeCell ref="B31:L31"/>
    <mergeCell ref="A1:W1"/>
    <mergeCell ref="G2:W27"/>
    <mergeCell ref="B28:L28"/>
    <mergeCell ref="B29:L29"/>
    <mergeCell ref="B30:L30"/>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6A45C-FC37-CF43-971C-F941927B3A3C}">
  <dimension ref="A1:X30"/>
  <sheetViews>
    <sheetView topLeftCell="A5" zoomScale="133" workbookViewId="0">
      <selection activeCell="D33" sqref="D33"/>
    </sheetView>
  </sheetViews>
  <sheetFormatPr baseColWidth="10" defaultRowHeight="15"/>
  <cols>
    <col min="1" max="1" width="12.5" bestFit="1" customWidth="1"/>
    <col min="2" max="2" width="15.83203125" bestFit="1" customWidth="1"/>
    <col min="3" max="3" width="13.1640625" bestFit="1" customWidth="1"/>
    <col min="4" max="4" width="13.83203125" bestFit="1" customWidth="1"/>
    <col min="5" max="5" width="13" customWidth="1"/>
    <col min="6" max="6" width="11.6640625" customWidth="1"/>
  </cols>
  <sheetData>
    <row r="1" spans="1:24" ht="19">
      <c r="A1" s="50" t="s">
        <v>862</v>
      </c>
      <c r="B1" s="50"/>
      <c r="C1" s="50"/>
      <c r="D1" s="50"/>
      <c r="E1" s="50"/>
      <c r="F1" s="50"/>
      <c r="G1" s="50"/>
      <c r="H1" s="50"/>
      <c r="I1" s="50"/>
      <c r="J1" s="50"/>
      <c r="K1" s="50"/>
      <c r="L1" s="50"/>
      <c r="M1" s="50"/>
      <c r="N1" s="50"/>
      <c r="O1" s="50"/>
      <c r="P1" s="50"/>
      <c r="Q1" s="50"/>
      <c r="R1" s="50"/>
      <c r="S1" s="50"/>
      <c r="T1" s="50"/>
      <c r="U1" s="50"/>
      <c r="V1" s="50"/>
      <c r="W1" s="50"/>
      <c r="X1" s="50"/>
    </row>
    <row r="2" spans="1:24">
      <c r="G2" s="56"/>
      <c r="H2" s="56"/>
      <c r="I2" s="56"/>
      <c r="J2" s="56"/>
      <c r="K2" s="56"/>
      <c r="L2" s="56"/>
      <c r="M2" s="56"/>
      <c r="N2" s="56"/>
      <c r="O2" s="56"/>
      <c r="P2" s="56"/>
      <c r="Q2" s="56"/>
      <c r="R2" s="56"/>
      <c r="S2" s="56"/>
      <c r="T2" s="56"/>
      <c r="U2" s="56"/>
      <c r="V2" s="56"/>
      <c r="W2" s="56"/>
      <c r="X2" s="56"/>
    </row>
    <row r="3" spans="1:24" ht="48">
      <c r="A3" s="26" t="s">
        <v>398</v>
      </c>
      <c r="B3" s="26" t="s">
        <v>409</v>
      </c>
      <c r="C3" s="7" t="s">
        <v>860</v>
      </c>
      <c r="D3" s="7" t="s">
        <v>861</v>
      </c>
      <c r="E3" s="7" t="s">
        <v>863</v>
      </c>
      <c r="F3" s="7" t="s">
        <v>854</v>
      </c>
      <c r="G3" s="56"/>
      <c r="H3" s="56"/>
      <c r="I3" s="56"/>
      <c r="J3" s="56"/>
      <c r="K3" s="56"/>
      <c r="L3" s="56"/>
      <c r="M3" s="56"/>
      <c r="N3" s="56"/>
      <c r="O3" s="56"/>
      <c r="P3" s="56"/>
      <c r="Q3" s="56"/>
      <c r="R3" s="56"/>
      <c r="S3" s="56"/>
      <c r="T3" s="56"/>
      <c r="U3" s="56"/>
      <c r="V3" s="56"/>
      <c r="W3" s="56"/>
      <c r="X3" s="56"/>
    </row>
    <row r="4" spans="1:24">
      <c r="A4" s="15">
        <v>45323</v>
      </c>
      <c r="B4">
        <v>105</v>
      </c>
      <c r="C4">
        <v>162</v>
      </c>
      <c r="D4">
        <v>165</v>
      </c>
      <c r="E4">
        <v>155</v>
      </c>
      <c r="F4">
        <v>0</v>
      </c>
      <c r="G4" s="56"/>
      <c r="H4" s="56"/>
      <c r="I4" s="56"/>
      <c r="J4" s="56"/>
      <c r="K4" s="56"/>
      <c r="L4" s="56"/>
      <c r="M4" s="56"/>
      <c r="N4" s="56"/>
      <c r="O4" s="56"/>
      <c r="P4" s="56"/>
      <c r="Q4" s="56"/>
      <c r="R4" s="56"/>
      <c r="S4" s="56"/>
      <c r="T4" s="56"/>
      <c r="U4" s="56"/>
      <c r="V4" s="56"/>
      <c r="W4" s="56"/>
      <c r="X4" s="56"/>
    </row>
    <row r="5" spans="1:24">
      <c r="A5" s="15">
        <v>45324</v>
      </c>
      <c r="B5">
        <v>105</v>
      </c>
      <c r="C5">
        <v>162</v>
      </c>
      <c r="D5">
        <v>163</v>
      </c>
      <c r="E5">
        <v>163</v>
      </c>
      <c r="F5">
        <v>10</v>
      </c>
      <c r="G5" s="56"/>
      <c r="H5" s="56"/>
      <c r="I5" s="56"/>
      <c r="J5" s="56"/>
      <c r="K5" s="56"/>
      <c r="L5" s="56"/>
      <c r="M5" s="56"/>
      <c r="N5" s="56"/>
      <c r="O5" s="56"/>
      <c r="P5" s="56"/>
      <c r="Q5" s="56"/>
      <c r="R5" s="56"/>
      <c r="S5" s="56"/>
      <c r="T5" s="56"/>
      <c r="U5" s="56"/>
      <c r="V5" s="56"/>
      <c r="W5" s="56"/>
      <c r="X5" s="56"/>
    </row>
    <row r="6" spans="1:24">
      <c r="A6" s="15">
        <v>45325</v>
      </c>
      <c r="B6">
        <v>105</v>
      </c>
      <c r="C6">
        <v>162</v>
      </c>
      <c r="D6">
        <v>194</v>
      </c>
      <c r="E6">
        <v>157</v>
      </c>
      <c r="F6">
        <v>20</v>
      </c>
      <c r="G6" s="56"/>
      <c r="H6" s="56"/>
      <c r="I6" s="56"/>
      <c r="J6" s="56"/>
      <c r="K6" s="56"/>
      <c r="L6" s="56"/>
      <c r="M6" s="56"/>
      <c r="N6" s="56"/>
      <c r="O6" s="56"/>
      <c r="P6" s="56"/>
      <c r="Q6" s="56"/>
      <c r="R6" s="56"/>
      <c r="S6" s="56"/>
      <c r="T6" s="56"/>
      <c r="U6" s="56"/>
      <c r="V6" s="56"/>
      <c r="W6" s="56"/>
      <c r="X6" s="56"/>
    </row>
    <row r="7" spans="1:24">
      <c r="A7" s="15">
        <v>45328</v>
      </c>
      <c r="B7">
        <v>105</v>
      </c>
      <c r="C7">
        <v>162</v>
      </c>
      <c r="D7">
        <v>152</v>
      </c>
      <c r="E7">
        <v>152</v>
      </c>
      <c r="F7">
        <v>0</v>
      </c>
      <c r="G7" s="56"/>
      <c r="H7" s="56"/>
      <c r="I7" s="56"/>
      <c r="J7" s="56"/>
      <c r="K7" s="56"/>
      <c r="L7" s="56"/>
      <c r="M7" s="56"/>
      <c r="N7" s="56"/>
      <c r="O7" s="56"/>
      <c r="P7" s="56"/>
      <c r="Q7" s="56"/>
      <c r="R7" s="56"/>
      <c r="S7" s="56"/>
      <c r="T7" s="56"/>
      <c r="U7" s="56"/>
      <c r="V7" s="56"/>
      <c r="W7" s="56"/>
      <c r="X7" s="56"/>
    </row>
    <row r="8" spans="1:24">
      <c r="A8" s="15">
        <v>45329</v>
      </c>
      <c r="B8">
        <v>105</v>
      </c>
      <c r="C8">
        <v>162</v>
      </c>
      <c r="D8">
        <v>173</v>
      </c>
      <c r="E8">
        <v>160</v>
      </c>
      <c r="F8">
        <v>53</v>
      </c>
      <c r="G8" s="56"/>
      <c r="H8" s="56"/>
      <c r="I8" s="56"/>
      <c r="J8" s="56"/>
      <c r="K8" s="56"/>
      <c r="L8" s="56"/>
      <c r="M8" s="56"/>
      <c r="N8" s="56"/>
      <c r="O8" s="56"/>
      <c r="P8" s="56"/>
      <c r="Q8" s="56"/>
      <c r="R8" s="56"/>
      <c r="S8" s="56"/>
      <c r="T8" s="56"/>
      <c r="U8" s="56"/>
      <c r="V8" s="56"/>
      <c r="W8" s="56"/>
      <c r="X8" s="56"/>
    </row>
    <row r="9" spans="1:24">
      <c r="A9" s="15">
        <v>45330</v>
      </c>
      <c r="B9">
        <v>105</v>
      </c>
      <c r="C9">
        <v>162</v>
      </c>
      <c r="D9">
        <v>183</v>
      </c>
      <c r="E9">
        <v>158</v>
      </c>
      <c r="F9">
        <v>16</v>
      </c>
      <c r="G9" s="56"/>
      <c r="H9" s="56"/>
      <c r="I9" s="56"/>
      <c r="J9" s="56"/>
      <c r="K9" s="56"/>
      <c r="L9" s="56"/>
      <c r="M9" s="56"/>
      <c r="N9" s="56"/>
      <c r="O9" s="56"/>
      <c r="P9" s="56"/>
      <c r="Q9" s="56"/>
      <c r="R9" s="56"/>
      <c r="S9" s="56"/>
      <c r="T9" s="56"/>
      <c r="U9" s="56"/>
      <c r="V9" s="56"/>
      <c r="W9" s="56"/>
      <c r="X9" s="56"/>
    </row>
    <row r="10" spans="1:24">
      <c r="A10" s="15">
        <v>45331</v>
      </c>
      <c r="B10">
        <v>105</v>
      </c>
      <c r="C10">
        <v>162</v>
      </c>
      <c r="D10">
        <v>176</v>
      </c>
      <c r="E10">
        <v>153</v>
      </c>
      <c r="F10">
        <v>8</v>
      </c>
      <c r="G10" s="56"/>
      <c r="H10" s="56"/>
      <c r="I10" s="56"/>
      <c r="J10" s="56"/>
      <c r="K10" s="56"/>
      <c r="L10" s="56"/>
      <c r="M10" s="56"/>
      <c r="N10" s="56"/>
      <c r="O10" s="56"/>
      <c r="P10" s="56"/>
      <c r="Q10" s="56"/>
      <c r="R10" s="56"/>
      <c r="S10" s="56"/>
      <c r="T10" s="56"/>
      <c r="U10" s="56"/>
      <c r="V10" s="56"/>
      <c r="W10" s="56"/>
      <c r="X10" s="56"/>
    </row>
    <row r="11" spans="1:24">
      <c r="A11" s="15">
        <v>45332</v>
      </c>
      <c r="B11">
        <v>105</v>
      </c>
      <c r="C11">
        <v>162</v>
      </c>
      <c r="D11">
        <v>171</v>
      </c>
      <c r="E11">
        <v>133</v>
      </c>
      <c r="F11">
        <v>0</v>
      </c>
      <c r="G11" s="56"/>
      <c r="H11" s="56"/>
      <c r="I11" s="56"/>
      <c r="J11" s="56"/>
      <c r="K11" s="56"/>
      <c r="L11" s="56"/>
      <c r="M11" s="56"/>
      <c r="N11" s="56"/>
      <c r="O11" s="56"/>
      <c r="P11" s="56"/>
      <c r="Q11" s="56"/>
      <c r="R11" s="56"/>
      <c r="S11" s="56"/>
      <c r="T11" s="56"/>
      <c r="U11" s="56"/>
      <c r="V11" s="56"/>
      <c r="W11" s="56"/>
      <c r="X11" s="56"/>
    </row>
    <row r="12" spans="1:24">
      <c r="A12" s="15">
        <v>45335</v>
      </c>
      <c r="B12">
        <v>105</v>
      </c>
      <c r="C12">
        <v>162</v>
      </c>
      <c r="D12">
        <v>153</v>
      </c>
      <c r="E12">
        <v>153</v>
      </c>
      <c r="F12">
        <v>0</v>
      </c>
      <c r="G12" s="56"/>
      <c r="H12" s="56"/>
      <c r="I12" s="56"/>
      <c r="J12" s="56"/>
      <c r="K12" s="56"/>
      <c r="L12" s="56"/>
      <c r="M12" s="56"/>
      <c r="N12" s="56"/>
      <c r="O12" s="56"/>
      <c r="P12" s="56"/>
      <c r="Q12" s="56"/>
      <c r="R12" s="56"/>
      <c r="S12" s="56"/>
      <c r="T12" s="56"/>
      <c r="U12" s="56"/>
      <c r="V12" s="56"/>
      <c r="W12" s="56"/>
      <c r="X12" s="56"/>
    </row>
    <row r="13" spans="1:24">
      <c r="A13" s="15">
        <v>45336</v>
      </c>
      <c r="B13">
        <v>105</v>
      </c>
      <c r="C13">
        <v>162</v>
      </c>
      <c r="D13">
        <v>153</v>
      </c>
      <c r="E13">
        <v>153</v>
      </c>
      <c r="F13">
        <v>4</v>
      </c>
      <c r="G13" s="56"/>
      <c r="H13" s="56"/>
      <c r="I13" s="56"/>
      <c r="J13" s="56"/>
      <c r="K13" s="56"/>
      <c r="L13" s="56"/>
      <c r="M13" s="56"/>
      <c r="N13" s="56"/>
      <c r="O13" s="56"/>
      <c r="P13" s="56"/>
      <c r="Q13" s="56"/>
      <c r="R13" s="56"/>
      <c r="S13" s="56"/>
      <c r="T13" s="56"/>
      <c r="U13" s="56"/>
      <c r="V13" s="56"/>
      <c r="W13" s="56"/>
      <c r="X13" s="56"/>
    </row>
    <row r="14" spans="1:24">
      <c r="A14" s="15">
        <v>45337</v>
      </c>
      <c r="B14">
        <v>105</v>
      </c>
      <c r="C14">
        <v>162</v>
      </c>
      <c r="D14">
        <v>162</v>
      </c>
      <c r="E14">
        <v>155</v>
      </c>
      <c r="F14">
        <v>0</v>
      </c>
      <c r="G14" s="56"/>
      <c r="H14" s="56"/>
      <c r="I14" s="56"/>
      <c r="J14" s="56"/>
      <c r="K14" s="56"/>
      <c r="L14" s="56"/>
      <c r="M14" s="56"/>
      <c r="N14" s="56"/>
      <c r="O14" s="56"/>
      <c r="P14" s="56"/>
      <c r="Q14" s="56"/>
      <c r="R14" s="56"/>
      <c r="S14" s="56"/>
      <c r="T14" s="56"/>
      <c r="U14" s="56"/>
      <c r="V14" s="56"/>
      <c r="W14" s="56"/>
      <c r="X14" s="56"/>
    </row>
    <row r="15" spans="1:24">
      <c r="A15" s="15">
        <v>45338</v>
      </c>
      <c r="B15">
        <v>105</v>
      </c>
      <c r="C15">
        <v>162</v>
      </c>
      <c r="D15">
        <v>189</v>
      </c>
      <c r="E15">
        <v>158</v>
      </c>
      <c r="F15">
        <v>0</v>
      </c>
      <c r="G15" s="56"/>
      <c r="H15" s="56"/>
      <c r="I15" s="56"/>
      <c r="J15" s="56"/>
      <c r="K15" s="56"/>
      <c r="L15" s="56"/>
      <c r="M15" s="56"/>
      <c r="N15" s="56"/>
      <c r="O15" s="56"/>
      <c r="P15" s="56"/>
      <c r="Q15" s="56"/>
      <c r="R15" s="56"/>
      <c r="S15" s="56"/>
      <c r="T15" s="56"/>
      <c r="U15" s="56"/>
      <c r="V15" s="56"/>
      <c r="W15" s="56"/>
      <c r="X15" s="56"/>
    </row>
    <row r="16" spans="1:24">
      <c r="A16" s="15">
        <v>45339</v>
      </c>
      <c r="B16">
        <v>105</v>
      </c>
      <c r="C16">
        <v>162</v>
      </c>
      <c r="D16">
        <v>140</v>
      </c>
      <c r="E16">
        <v>140</v>
      </c>
      <c r="F16">
        <v>5</v>
      </c>
      <c r="G16" s="56"/>
      <c r="H16" s="56"/>
      <c r="I16" s="56"/>
      <c r="J16" s="56"/>
      <c r="K16" s="56"/>
      <c r="L16" s="56"/>
      <c r="M16" s="56"/>
      <c r="N16" s="56"/>
      <c r="O16" s="56"/>
      <c r="P16" s="56"/>
      <c r="Q16" s="56"/>
      <c r="R16" s="56"/>
      <c r="S16" s="56"/>
      <c r="T16" s="56"/>
      <c r="U16" s="56"/>
      <c r="V16" s="56"/>
      <c r="W16" s="56"/>
      <c r="X16" s="56"/>
    </row>
    <row r="17" spans="1:24">
      <c r="A17" s="15">
        <v>45342</v>
      </c>
      <c r="B17">
        <v>105</v>
      </c>
      <c r="C17">
        <v>162</v>
      </c>
      <c r="D17">
        <v>136</v>
      </c>
      <c r="E17">
        <v>136</v>
      </c>
      <c r="F17">
        <v>12</v>
      </c>
      <c r="G17" s="56"/>
      <c r="H17" s="56"/>
      <c r="I17" s="56"/>
      <c r="J17" s="56"/>
      <c r="K17" s="56"/>
      <c r="L17" s="56"/>
      <c r="M17" s="56"/>
      <c r="N17" s="56"/>
      <c r="O17" s="56"/>
      <c r="P17" s="56"/>
      <c r="Q17" s="56"/>
      <c r="R17" s="56"/>
      <c r="S17" s="56"/>
      <c r="T17" s="56"/>
      <c r="U17" s="56"/>
      <c r="V17" s="56"/>
      <c r="W17" s="56"/>
      <c r="X17" s="56"/>
    </row>
    <row r="18" spans="1:24">
      <c r="A18" s="15">
        <v>45343</v>
      </c>
      <c r="B18">
        <v>105</v>
      </c>
      <c r="C18">
        <v>162</v>
      </c>
      <c r="D18">
        <v>137</v>
      </c>
      <c r="E18">
        <v>137</v>
      </c>
      <c r="F18">
        <v>0</v>
      </c>
      <c r="G18" s="56"/>
      <c r="H18" s="56"/>
      <c r="I18" s="56"/>
      <c r="J18" s="56"/>
      <c r="K18" s="56"/>
      <c r="L18" s="56"/>
      <c r="M18" s="56"/>
      <c r="N18" s="56"/>
      <c r="O18" s="56"/>
      <c r="P18" s="56"/>
      <c r="Q18" s="56"/>
      <c r="R18" s="56"/>
      <c r="S18" s="56"/>
      <c r="T18" s="56"/>
      <c r="U18" s="56"/>
      <c r="V18" s="56"/>
      <c r="W18" s="56"/>
      <c r="X18" s="56"/>
    </row>
    <row r="19" spans="1:24">
      <c r="A19" s="15">
        <v>45344</v>
      </c>
      <c r="B19">
        <v>105</v>
      </c>
      <c r="C19">
        <v>162</v>
      </c>
      <c r="D19">
        <v>155</v>
      </c>
      <c r="E19">
        <v>155</v>
      </c>
      <c r="F19">
        <v>0</v>
      </c>
      <c r="G19" s="56"/>
      <c r="H19" s="56"/>
      <c r="I19" s="56"/>
      <c r="J19" s="56"/>
      <c r="K19" s="56"/>
      <c r="L19" s="56"/>
      <c r="M19" s="56"/>
      <c r="N19" s="56"/>
      <c r="O19" s="56"/>
      <c r="P19" s="56"/>
      <c r="Q19" s="56"/>
      <c r="R19" s="56"/>
      <c r="S19" s="56"/>
      <c r="T19" s="56"/>
      <c r="U19" s="56"/>
      <c r="V19" s="56"/>
      <c r="W19" s="56"/>
      <c r="X19" s="56"/>
    </row>
    <row r="20" spans="1:24">
      <c r="A20" s="15">
        <v>45345</v>
      </c>
      <c r="B20">
        <v>105</v>
      </c>
      <c r="C20">
        <v>162</v>
      </c>
      <c r="D20">
        <v>178</v>
      </c>
      <c r="E20">
        <v>158</v>
      </c>
      <c r="F20">
        <v>0</v>
      </c>
      <c r="G20" s="56"/>
      <c r="H20" s="56"/>
      <c r="I20" s="56"/>
      <c r="J20" s="56"/>
      <c r="K20" s="56"/>
      <c r="L20" s="56"/>
      <c r="M20" s="56"/>
      <c r="N20" s="56"/>
      <c r="O20" s="56"/>
      <c r="P20" s="56"/>
      <c r="Q20" s="56"/>
      <c r="R20" s="56"/>
      <c r="S20" s="56"/>
      <c r="T20" s="56"/>
      <c r="U20" s="56"/>
      <c r="V20" s="56"/>
      <c r="W20" s="56"/>
      <c r="X20" s="56"/>
    </row>
    <row r="21" spans="1:24">
      <c r="A21" s="15">
        <v>45346</v>
      </c>
      <c r="B21">
        <v>105</v>
      </c>
      <c r="C21">
        <v>162</v>
      </c>
      <c r="D21">
        <v>136</v>
      </c>
      <c r="E21">
        <v>136</v>
      </c>
      <c r="F21">
        <v>0</v>
      </c>
      <c r="G21" s="56"/>
      <c r="H21" s="56"/>
      <c r="I21" s="56"/>
      <c r="J21" s="56"/>
      <c r="K21" s="56"/>
      <c r="L21" s="56"/>
      <c r="M21" s="56"/>
      <c r="N21" s="56"/>
      <c r="O21" s="56"/>
      <c r="P21" s="56"/>
      <c r="Q21" s="56"/>
      <c r="R21" s="56"/>
      <c r="S21" s="56"/>
      <c r="T21" s="56"/>
      <c r="U21" s="56"/>
      <c r="V21" s="56"/>
      <c r="W21" s="56"/>
      <c r="X21" s="56"/>
    </row>
    <row r="22" spans="1:24">
      <c r="A22" s="15">
        <v>45349</v>
      </c>
      <c r="B22">
        <v>105</v>
      </c>
      <c r="C22">
        <v>162</v>
      </c>
      <c r="D22">
        <v>139</v>
      </c>
      <c r="E22">
        <v>139</v>
      </c>
      <c r="F22">
        <v>0</v>
      </c>
      <c r="G22" s="56"/>
      <c r="H22" s="56"/>
      <c r="I22" s="56"/>
      <c r="J22" s="56"/>
      <c r="K22" s="56"/>
      <c r="L22" s="56"/>
      <c r="M22" s="56"/>
      <c r="N22" s="56"/>
      <c r="O22" s="56"/>
      <c r="P22" s="56"/>
      <c r="Q22" s="56"/>
      <c r="R22" s="56"/>
      <c r="S22" s="56"/>
      <c r="T22" s="56"/>
      <c r="U22" s="56"/>
      <c r="V22" s="56"/>
      <c r="W22" s="56"/>
      <c r="X22" s="56"/>
    </row>
    <row r="23" spans="1:24">
      <c r="A23" s="15">
        <v>45350</v>
      </c>
      <c r="B23">
        <v>105</v>
      </c>
      <c r="C23">
        <v>162</v>
      </c>
      <c r="D23">
        <v>179</v>
      </c>
      <c r="E23">
        <v>155</v>
      </c>
      <c r="F23">
        <v>0</v>
      </c>
      <c r="G23" s="56"/>
      <c r="H23" s="56"/>
      <c r="I23" s="56"/>
      <c r="J23" s="56"/>
      <c r="K23" s="56"/>
      <c r="L23" s="56"/>
      <c r="M23" s="56"/>
      <c r="N23" s="56"/>
      <c r="O23" s="56"/>
      <c r="P23" s="56"/>
      <c r="Q23" s="56"/>
      <c r="R23" s="56"/>
      <c r="S23" s="56"/>
      <c r="T23" s="56"/>
      <c r="U23" s="56"/>
      <c r="V23" s="56"/>
      <c r="W23" s="56"/>
      <c r="X23" s="56"/>
    </row>
    <row r="24" spans="1:24">
      <c r="A24" s="15">
        <v>45351</v>
      </c>
      <c r="B24">
        <v>105</v>
      </c>
      <c r="C24">
        <v>162</v>
      </c>
      <c r="D24">
        <v>134</v>
      </c>
      <c r="E24">
        <v>134</v>
      </c>
      <c r="F24">
        <v>7</v>
      </c>
      <c r="G24" s="56"/>
      <c r="H24" s="56"/>
      <c r="I24" s="56"/>
      <c r="J24" s="56"/>
      <c r="K24" s="56"/>
      <c r="L24" s="56"/>
      <c r="M24" s="56"/>
      <c r="N24" s="56"/>
      <c r="O24" s="56"/>
      <c r="P24" s="56"/>
      <c r="Q24" s="56"/>
      <c r="R24" s="56"/>
      <c r="S24" s="56"/>
      <c r="T24" s="56"/>
      <c r="U24" s="56"/>
      <c r="V24" s="56"/>
      <c r="W24" s="56"/>
      <c r="X24" s="56"/>
    </row>
    <row r="25" spans="1:24">
      <c r="A25" s="15" t="s">
        <v>834</v>
      </c>
      <c r="C25">
        <v>3402</v>
      </c>
      <c r="D25">
        <v>3368</v>
      </c>
      <c r="E25">
        <v>3140</v>
      </c>
      <c r="F25">
        <v>135</v>
      </c>
      <c r="G25" s="56"/>
      <c r="H25" s="56"/>
      <c r="I25" s="56"/>
      <c r="J25" s="56"/>
      <c r="K25" s="56"/>
      <c r="L25" s="56"/>
      <c r="M25" s="56"/>
      <c r="N25" s="56"/>
      <c r="O25" s="56"/>
      <c r="P25" s="56"/>
      <c r="Q25" s="56"/>
      <c r="R25" s="56"/>
      <c r="S25" s="56"/>
      <c r="T25" s="56"/>
      <c r="U25" s="56"/>
      <c r="V25" s="56"/>
      <c r="W25" s="56"/>
      <c r="X25" s="56"/>
    </row>
    <row r="26" spans="1:24">
      <c r="G26" s="57"/>
      <c r="H26" s="57"/>
      <c r="I26" s="57"/>
      <c r="J26" s="57"/>
      <c r="K26" s="57"/>
      <c r="L26" s="56"/>
      <c r="M26" s="56"/>
      <c r="N26" s="56"/>
      <c r="O26" s="56"/>
      <c r="P26" s="56"/>
      <c r="Q26" s="56"/>
      <c r="R26" s="56"/>
      <c r="S26" s="56"/>
      <c r="T26" s="56"/>
      <c r="U26" s="56"/>
      <c r="V26" s="56"/>
      <c r="W26" s="56"/>
      <c r="X26" s="56"/>
    </row>
    <row r="27" spans="1:24">
      <c r="A27" s="24" t="s">
        <v>813</v>
      </c>
      <c r="B27" s="37" t="s">
        <v>830</v>
      </c>
      <c r="C27" s="37"/>
      <c r="D27" s="37"/>
      <c r="E27" s="37"/>
      <c r="F27" s="37"/>
      <c r="G27" s="37"/>
      <c r="H27" s="37"/>
      <c r="I27" s="37"/>
      <c r="J27" s="37"/>
      <c r="K27" s="37"/>
    </row>
    <row r="28" spans="1:24">
      <c r="A28" s="31" t="s">
        <v>817</v>
      </c>
      <c r="B28" s="37" t="s">
        <v>832</v>
      </c>
      <c r="C28" s="37"/>
      <c r="D28" s="37"/>
      <c r="E28" s="37"/>
      <c r="F28" s="37"/>
      <c r="G28" s="37"/>
      <c r="H28" s="37"/>
      <c r="I28" s="37"/>
      <c r="J28" s="37"/>
      <c r="K28" s="37"/>
    </row>
    <row r="29" spans="1:24" ht="44" customHeight="1">
      <c r="A29" s="30" t="s">
        <v>841</v>
      </c>
      <c r="B29" s="35" t="s">
        <v>864</v>
      </c>
      <c r="C29" s="35"/>
      <c r="D29" s="35"/>
      <c r="E29" s="35"/>
      <c r="F29" s="35"/>
      <c r="G29" s="35"/>
      <c r="H29" s="35"/>
      <c r="I29" s="35"/>
      <c r="J29" s="35"/>
      <c r="K29" s="35"/>
      <c r="L29" s="7"/>
      <c r="M29" s="7"/>
      <c r="N29" s="7"/>
      <c r="O29" s="7"/>
      <c r="P29" s="7"/>
      <c r="Q29" s="7"/>
      <c r="R29" s="7"/>
      <c r="S29" s="7"/>
      <c r="T29" s="7"/>
      <c r="U29" s="7"/>
      <c r="V29" s="7"/>
      <c r="W29" s="7"/>
      <c r="X29" s="7"/>
    </row>
    <row r="30" spans="1:24" ht="93" customHeight="1">
      <c r="A30" s="32" t="s">
        <v>846</v>
      </c>
      <c r="B30" s="35" t="s">
        <v>930</v>
      </c>
      <c r="C30" s="35"/>
      <c r="D30" s="35"/>
      <c r="E30" s="35"/>
      <c r="F30" s="35"/>
      <c r="G30" s="35"/>
      <c r="H30" s="35"/>
      <c r="I30" s="35"/>
      <c r="J30" s="35"/>
      <c r="K30" s="35"/>
      <c r="L30" s="7"/>
      <c r="M30" s="7"/>
      <c r="N30" s="7"/>
      <c r="O30" s="7"/>
      <c r="P30" s="7"/>
      <c r="Q30" s="7"/>
      <c r="R30" s="7"/>
      <c r="S30" s="7"/>
      <c r="T30" s="7"/>
      <c r="U30" s="7"/>
      <c r="V30" s="7"/>
      <c r="W30" s="7"/>
      <c r="X30" s="7"/>
    </row>
  </sheetData>
  <mergeCells count="6">
    <mergeCell ref="B30:K30"/>
    <mergeCell ref="A1:X1"/>
    <mergeCell ref="G2:X26"/>
    <mergeCell ref="B27:K27"/>
    <mergeCell ref="B28:K28"/>
    <mergeCell ref="B29:K29"/>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E4F41-9D13-4E60-BC3E-F808586A3435}">
  <dimension ref="A1:U78"/>
  <sheetViews>
    <sheetView workbookViewId="0">
      <selection activeCell="C15" sqref="C15"/>
    </sheetView>
  </sheetViews>
  <sheetFormatPr baseColWidth="10" defaultColWidth="8.83203125" defaultRowHeight="15"/>
  <cols>
    <col min="2" max="2" width="11" customWidth="1"/>
    <col min="3" max="3" width="16.5" customWidth="1"/>
    <col min="4" max="4" width="16.33203125" customWidth="1"/>
    <col min="5" max="5" width="13.1640625" customWidth="1"/>
    <col min="7" max="7" width="13.5" customWidth="1"/>
    <col min="10" max="10" width="16.1640625" customWidth="1"/>
    <col min="11" max="11" width="15.33203125" customWidth="1"/>
    <col min="18" max="18" width="11" customWidth="1"/>
    <col min="19" max="19" width="10.6640625" customWidth="1"/>
    <col min="21" max="21" width="12.33203125" customWidth="1"/>
  </cols>
  <sheetData>
    <row r="1" spans="1:21" ht="21">
      <c r="A1" t="s">
        <v>66</v>
      </c>
      <c r="G1" s="14" t="str">
        <f>ReadMeFirst!D1&amp;" "&amp;ReadMeFirst!E1</f>
        <v>Data Set B</v>
      </c>
    </row>
    <row r="5" spans="1:21">
      <c r="B5" s="5" t="s">
        <v>67</v>
      </c>
    </row>
    <row r="6" spans="1:21">
      <c r="B6" t="s">
        <v>68</v>
      </c>
      <c r="C6" t="s">
        <v>69</v>
      </c>
      <c r="D6" t="s">
        <v>70</v>
      </c>
    </row>
    <row r="7" spans="1:21">
      <c r="B7">
        <v>55</v>
      </c>
      <c r="C7" t="s">
        <v>71</v>
      </c>
      <c r="D7" t="s">
        <v>72</v>
      </c>
    </row>
    <row r="8" spans="1:21">
      <c r="B8">
        <v>92</v>
      </c>
      <c r="C8" t="s">
        <v>73</v>
      </c>
      <c r="D8" t="s">
        <v>74</v>
      </c>
    </row>
    <row r="9" spans="1:21">
      <c r="Q9" s="5" t="s">
        <v>75</v>
      </c>
    </row>
    <row r="10" spans="1:21">
      <c r="Q10" s="9" t="s">
        <v>76</v>
      </c>
    </row>
    <row r="11" spans="1:21">
      <c r="B11" s="5" t="s">
        <v>77</v>
      </c>
      <c r="K11" s="9" t="s">
        <v>78</v>
      </c>
    </row>
    <row r="12" spans="1:21" s="7" customFormat="1" ht="34.5" customHeight="1">
      <c r="B12" s="7" t="s">
        <v>79</v>
      </c>
      <c r="C12" s="7" t="s">
        <v>80</v>
      </c>
      <c r="D12" s="7" t="s">
        <v>68</v>
      </c>
      <c r="E12" s="7" t="s">
        <v>81</v>
      </c>
      <c r="F12" s="7" t="s">
        <v>82</v>
      </c>
      <c r="G12" s="7" t="s">
        <v>83</v>
      </c>
      <c r="H12" s="7" t="s">
        <v>84</v>
      </c>
      <c r="I12" s="7" t="s">
        <v>85</v>
      </c>
      <c r="J12" s="7" t="s">
        <v>86</v>
      </c>
      <c r="K12" s="7" t="s">
        <v>87</v>
      </c>
      <c r="L12" s="7" t="s">
        <v>88</v>
      </c>
      <c r="M12" s="7" t="s">
        <v>89</v>
      </c>
      <c r="N12" s="7" t="s">
        <v>90</v>
      </c>
      <c r="Q12" t="s">
        <v>91</v>
      </c>
      <c r="R12" s="7" t="s">
        <v>79</v>
      </c>
      <c r="S12" s="7" t="s">
        <v>92</v>
      </c>
      <c r="T12" s="7" t="s">
        <v>68</v>
      </c>
      <c r="U12" s="7" t="s">
        <v>81</v>
      </c>
    </row>
    <row r="13" spans="1:21">
      <c r="B13">
        <v>105</v>
      </c>
      <c r="C13" t="s">
        <v>93</v>
      </c>
      <c r="D13">
        <v>55</v>
      </c>
      <c r="E13">
        <v>3</v>
      </c>
      <c r="F13">
        <v>129</v>
      </c>
      <c r="G13">
        <v>36</v>
      </c>
      <c r="H13">
        <v>184</v>
      </c>
      <c r="I13">
        <v>14</v>
      </c>
      <c r="J13">
        <v>1.1000000000000001</v>
      </c>
      <c r="K13" s="9">
        <f>INT(7/(I13*J13/60))</f>
        <v>27</v>
      </c>
      <c r="L13">
        <f>ROUNDUP(K13/2,0)</f>
        <v>14</v>
      </c>
      <c r="M13">
        <v>0.35</v>
      </c>
      <c r="N13">
        <v>12</v>
      </c>
      <c r="Q13" s="9" t="str">
        <f>R13&amp;"-"&amp;S13</f>
        <v>105-1</v>
      </c>
      <c r="R13">
        <v>105</v>
      </c>
      <c r="S13">
        <v>1</v>
      </c>
      <c r="T13">
        <v>55</v>
      </c>
      <c r="U13" t="s">
        <v>94</v>
      </c>
    </row>
    <row r="14" spans="1:21">
      <c r="B14">
        <v>119</v>
      </c>
      <c r="C14" t="s">
        <v>95</v>
      </c>
      <c r="D14">
        <v>92</v>
      </c>
      <c r="E14">
        <v>6</v>
      </c>
      <c r="F14">
        <v>17.8</v>
      </c>
      <c r="G14">
        <v>11</v>
      </c>
      <c r="H14">
        <v>32</v>
      </c>
      <c r="I14">
        <v>6</v>
      </c>
      <c r="J14">
        <v>0.4</v>
      </c>
      <c r="K14">
        <f>7/(I14*J14/60)</f>
        <v>174.99999999999997</v>
      </c>
      <c r="L14">
        <f t="shared" ref="L14:L15" si="0">ROUNDUP(K14/2,0)</f>
        <v>88</v>
      </c>
      <c r="M14">
        <v>0.2</v>
      </c>
      <c r="N14">
        <v>50</v>
      </c>
      <c r="Q14" t="str">
        <f t="shared" ref="Q14:Q25" si="1">R14&amp;"-"&amp;S14</f>
        <v>105-2</v>
      </c>
      <c r="R14">
        <v>105</v>
      </c>
      <c r="S14">
        <v>2</v>
      </c>
      <c r="T14">
        <v>55</v>
      </c>
      <c r="U14" t="s">
        <v>96</v>
      </c>
    </row>
    <row r="15" spans="1:21">
      <c r="B15">
        <v>201</v>
      </c>
      <c r="C15" t="s">
        <v>97</v>
      </c>
      <c r="D15">
        <v>92</v>
      </c>
      <c r="E15">
        <v>4</v>
      </c>
      <c r="F15">
        <v>32.6</v>
      </c>
      <c r="G15">
        <v>16.5</v>
      </c>
      <c r="H15">
        <v>71</v>
      </c>
      <c r="I15">
        <v>10</v>
      </c>
      <c r="J15">
        <v>0.6</v>
      </c>
      <c r="K15">
        <f>7/(I15*J15/60)</f>
        <v>70</v>
      </c>
      <c r="L15">
        <f t="shared" si="0"/>
        <v>35</v>
      </c>
      <c r="M15">
        <v>0.2</v>
      </c>
      <c r="N15">
        <v>40</v>
      </c>
      <c r="Q15" t="str">
        <f t="shared" si="1"/>
        <v>105-3</v>
      </c>
      <c r="R15">
        <v>105</v>
      </c>
      <c r="S15">
        <v>3</v>
      </c>
      <c r="T15">
        <v>55</v>
      </c>
      <c r="U15" t="s">
        <v>98</v>
      </c>
    </row>
    <row r="16" spans="1:21">
      <c r="Q16" t="str">
        <f t="shared" si="1"/>
        <v>119-1</v>
      </c>
      <c r="R16">
        <v>119</v>
      </c>
      <c r="S16">
        <v>1</v>
      </c>
      <c r="T16">
        <v>92</v>
      </c>
      <c r="U16" t="s">
        <v>99</v>
      </c>
    </row>
    <row r="17" spans="2:21">
      <c r="Q17" t="str">
        <f t="shared" si="1"/>
        <v>119-2</v>
      </c>
      <c r="R17">
        <v>119</v>
      </c>
      <c r="S17">
        <v>2</v>
      </c>
      <c r="T17">
        <v>92</v>
      </c>
      <c r="U17" t="s">
        <v>100</v>
      </c>
    </row>
    <row r="18" spans="2:21">
      <c r="B18" s="5" t="s">
        <v>101</v>
      </c>
      <c r="Q18" t="str">
        <f t="shared" si="1"/>
        <v>119-3</v>
      </c>
      <c r="R18">
        <v>119</v>
      </c>
      <c r="S18">
        <v>3</v>
      </c>
      <c r="T18">
        <v>92</v>
      </c>
      <c r="U18" t="s">
        <v>102</v>
      </c>
    </row>
    <row r="19" spans="2:21">
      <c r="B19" t="s">
        <v>103</v>
      </c>
      <c r="C19" t="s">
        <v>104</v>
      </c>
      <c r="Q19" t="str">
        <f t="shared" si="1"/>
        <v>119-4</v>
      </c>
      <c r="R19">
        <v>119</v>
      </c>
      <c r="S19">
        <v>4</v>
      </c>
      <c r="T19">
        <v>92</v>
      </c>
      <c r="U19" t="s">
        <v>105</v>
      </c>
    </row>
    <row r="20" spans="2:21">
      <c r="B20">
        <v>101</v>
      </c>
      <c r="C20" t="s">
        <v>106</v>
      </c>
      <c r="Q20" t="str">
        <f t="shared" si="1"/>
        <v>119-5</v>
      </c>
      <c r="R20">
        <v>119</v>
      </c>
      <c r="S20">
        <v>5</v>
      </c>
      <c r="T20">
        <v>92</v>
      </c>
      <c r="U20" t="s">
        <v>107</v>
      </c>
    </row>
    <row r="21" spans="2:21">
      <c r="B21">
        <v>102</v>
      </c>
      <c r="C21" t="s">
        <v>108</v>
      </c>
      <c r="Q21" t="str">
        <f t="shared" si="1"/>
        <v>119-6</v>
      </c>
      <c r="R21">
        <v>119</v>
      </c>
      <c r="S21">
        <v>6</v>
      </c>
      <c r="T21">
        <v>92</v>
      </c>
      <c r="U21" t="s">
        <v>109</v>
      </c>
    </row>
    <row r="22" spans="2:21">
      <c r="B22">
        <v>103</v>
      </c>
      <c r="C22" t="s">
        <v>110</v>
      </c>
      <c r="Q22" t="str">
        <f t="shared" si="1"/>
        <v>201-1</v>
      </c>
      <c r="R22">
        <v>201</v>
      </c>
      <c r="S22">
        <v>1</v>
      </c>
      <c r="T22">
        <v>92</v>
      </c>
      <c r="U22" t="s">
        <v>111</v>
      </c>
    </row>
    <row r="23" spans="2:21">
      <c r="Q23" t="str">
        <f t="shared" si="1"/>
        <v>201-2</v>
      </c>
      <c r="R23">
        <v>201</v>
      </c>
      <c r="S23">
        <v>2</v>
      </c>
      <c r="T23">
        <v>92</v>
      </c>
      <c r="U23" t="s">
        <v>112</v>
      </c>
    </row>
    <row r="24" spans="2:21">
      <c r="Q24" t="str">
        <f t="shared" si="1"/>
        <v>201-3</v>
      </c>
      <c r="R24">
        <v>201</v>
      </c>
      <c r="S24">
        <v>3</v>
      </c>
      <c r="T24">
        <v>92</v>
      </c>
      <c r="U24" t="s">
        <v>113</v>
      </c>
    </row>
    <row r="25" spans="2:21">
      <c r="B25" s="5" t="s">
        <v>114</v>
      </c>
      <c r="Q25" t="str">
        <f t="shared" si="1"/>
        <v>201-4</v>
      </c>
      <c r="R25">
        <v>201</v>
      </c>
      <c r="S25">
        <v>4</v>
      </c>
      <c r="T25">
        <v>92</v>
      </c>
      <c r="U25" t="s">
        <v>115</v>
      </c>
    </row>
    <row r="26" spans="2:21">
      <c r="B26" t="s">
        <v>116</v>
      </c>
      <c r="C26" t="s">
        <v>117</v>
      </c>
      <c r="D26" t="s">
        <v>118</v>
      </c>
      <c r="E26" t="s">
        <v>103</v>
      </c>
      <c r="F26" t="s">
        <v>119</v>
      </c>
      <c r="G26" t="s">
        <v>120</v>
      </c>
      <c r="H26" t="s">
        <v>121</v>
      </c>
    </row>
    <row r="27" spans="2:21">
      <c r="B27">
        <v>1</v>
      </c>
      <c r="C27" t="s">
        <v>122</v>
      </c>
      <c r="E27">
        <v>101</v>
      </c>
      <c r="F27" s="10">
        <v>18</v>
      </c>
      <c r="G27" s="11">
        <f>F27*0.35</f>
        <v>6.3</v>
      </c>
      <c r="H27" s="11">
        <f>F27+G27</f>
        <v>24.3</v>
      </c>
    </row>
    <row r="28" spans="2:21">
      <c r="B28">
        <v>2</v>
      </c>
      <c r="C28" t="s">
        <v>123</v>
      </c>
      <c r="D28" t="s">
        <v>124</v>
      </c>
      <c r="E28">
        <v>101</v>
      </c>
      <c r="F28" s="10">
        <v>22</v>
      </c>
      <c r="G28" s="11">
        <f t="shared" ref="G28:G32" si="2">F28*0.35</f>
        <v>7.6999999999999993</v>
      </c>
      <c r="H28" s="11">
        <f t="shared" ref="H28:H32" si="3">F28+G28</f>
        <v>29.7</v>
      </c>
    </row>
    <row r="29" spans="2:21">
      <c r="B29">
        <v>3</v>
      </c>
      <c r="C29" t="s">
        <v>123</v>
      </c>
      <c r="D29" t="s">
        <v>125</v>
      </c>
      <c r="E29">
        <v>101</v>
      </c>
      <c r="F29" s="10">
        <v>24</v>
      </c>
      <c r="G29" s="11">
        <f t="shared" si="2"/>
        <v>8.3999999999999986</v>
      </c>
      <c r="H29" s="11">
        <f t="shared" si="3"/>
        <v>32.4</v>
      </c>
    </row>
    <row r="30" spans="2:21">
      <c r="B30">
        <v>4</v>
      </c>
      <c r="C30" t="s">
        <v>126</v>
      </c>
      <c r="D30" t="s">
        <v>127</v>
      </c>
      <c r="E30">
        <v>101</v>
      </c>
      <c r="F30" s="10">
        <v>26</v>
      </c>
      <c r="G30" s="11">
        <f t="shared" si="2"/>
        <v>9.1</v>
      </c>
      <c r="H30" s="11">
        <f t="shared" si="3"/>
        <v>35.1</v>
      </c>
    </row>
    <row r="31" spans="2:21">
      <c r="B31">
        <v>5</v>
      </c>
      <c r="C31" t="s">
        <v>108</v>
      </c>
      <c r="D31" t="s">
        <v>128</v>
      </c>
      <c r="E31">
        <v>102</v>
      </c>
      <c r="F31" s="10">
        <v>30</v>
      </c>
      <c r="G31" s="11">
        <f t="shared" si="2"/>
        <v>10.5</v>
      </c>
      <c r="H31" s="11">
        <f t="shared" si="3"/>
        <v>40.5</v>
      </c>
    </row>
    <row r="32" spans="2:21">
      <c r="B32">
        <v>6</v>
      </c>
      <c r="C32" t="s">
        <v>110</v>
      </c>
      <c r="E32">
        <v>103</v>
      </c>
      <c r="F32" s="10">
        <v>30</v>
      </c>
      <c r="G32" s="11">
        <f t="shared" si="2"/>
        <v>10.5</v>
      </c>
      <c r="H32" s="11">
        <f t="shared" si="3"/>
        <v>40.5</v>
      </c>
    </row>
    <row r="35" spans="2:9">
      <c r="B35" s="5" t="s">
        <v>129</v>
      </c>
    </row>
    <row r="36" spans="2:9">
      <c r="B36" t="s">
        <v>130</v>
      </c>
      <c r="C36" t="s">
        <v>131</v>
      </c>
      <c r="D36" t="s">
        <v>132</v>
      </c>
      <c r="E36" t="s">
        <v>133</v>
      </c>
    </row>
    <row r="37" spans="2:9">
      <c r="B37">
        <v>1</v>
      </c>
      <c r="C37" t="s">
        <v>134</v>
      </c>
      <c r="D37" t="s">
        <v>135</v>
      </c>
      <c r="E37" s="12">
        <v>0</v>
      </c>
    </row>
    <row r="38" spans="2:9">
      <c r="B38">
        <v>2</v>
      </c>
      <c r="C38" t="s">
        <v>136</v>
      </c>
      <c r="D38" t="s">
        <v>137</v>
      </c>
      <c r="E38" s="12">
        <v>0.1</v>
      </c>
    </row>
    <row r="39" spans="2:9">
      <c r="B39">
        <v>3</v>
      </c>
      <c r="C39" t="s">
        <v>138</v>
      </c>
      <c r="D39" t="s">
        <v>139</v>
      </c>
      <c r="E39" s="12">
        <v>0.35</v>
      </c>
    </row>
    <row r="41" spans="2:9">
      <c r="B41" s="5" t="s">
        <v>140</v>
      </c>
    </row>
    <row r="42" spans="2:9">
      <c r="B42" t="s">
        <v>141</v>
      </c>
      <c r="C42" t="s">
        <v>142</v>
      </c>
    </row>
    <row r="43" spans="2:9">
      <c r="B43" t="s">
        <v>143</v>
      </c>
      <c r="C43" t="s">
        <v>144</v>
      </c>
    </row>
    <row r="44" spans="2:9">
      <c r="B44" t="s">
        <v>145</v>
      </c>
      <c r="C44" t="s">
        <v>146</v>
      </c>
    </row>
    <row r="46" spans="2:9">
      <c r="G46" s="9" t="s">
        <v>147</v>
      </c>
    </row>
    <row r="47" spans="2:9">
      <c r="B47" s="5" t="s">
        <v>148</v>
      </c>
    </row>
    <row r="48" spans="2:9">
      <c r="B48" t="s">
        <v>149</v>
      </c>
      <c r="C48" t="s">
        <v>150</v>
      </c>
      <c r="D48" t="s">
        <v>130</v>
      </c>
      <c r="E48" t="s">
        <v>151</v>
      </c>
      <c r="F48" t="s">
        <v>152</v>
      </c>
      <c r="G48" t="s">
        <v>153</v>
      </c>
      <c r="H48" t="s">
        <v>103</v>
      </c>
      <c r="I48" s="2" t="s">
        <v>154</v>
      </c>
    </row>
    <row r="49" spans="2:9">
      <c r="B49">
        <v>1</v>
      </c>
      <c r="C49" s="13">
        <v>45231</v>
      </c>
      <c r="D49">
        <v>1</v>
      </c>
      <c r="E49" t="s">
        <v>143</v>
      </c>
      <c r="F49" t="s">
        <v>155</v>
      </c>
      <c r="G49" s="9" t="str">
        <f>D49&amp;E49&amp;"-"&amp;H49&amp;"-"&amp;F49</f>
        <v>1A-101-N</v>
      </c>
      <c r="H49">
        <v>101</v>
      </c>
      <c r="I49">
        <v>6</v>
      </c>
    </row>
    <row r="50" spans="2:9">
      <c r="B50">
        <v>1</v>
      </c>
      <c r="C50" s="13">
        <v>45231</v>
      </c>
      <c r="D50">
        <v>1</v>
      </c>
      <c r="E50" t="s">
        <v>143</v>
      </c>
      <c r="F50" t="s">
        <v>156</v>
      </c>
      <c r="G50" t="str">
        <f>D50&amp;E50&amp;"-"&amp;H50&amp;"-"&amp;F50</f>
        <v>1A-101-Y</v>
      </c>
      <c r="H50">
        <v>101</v>
      </c>
      <c r="I50">
        <v>3</v>
      </c>
    </row>
    <row r="51" spans="2:9">
      <c r="B51">
        <v>2</v>
      </c>
      <c r="C51" s="13">
        <v>45232</v>
      </c>
      <c r="D51">
        <v>1</v>
      </c>
      <c r="E51" t="s">
        <v>143</v>
      </c>
      <c r="F51" t="s">
        <v>155</v>
      </c>
      <c r="G51" t="str">
        <f t="shared" ref="G51:G78" si="4">D51&amp;E51&amp;"-"&amp;H51&amp;"-"&amp;F51</f>
        <v>1A-102-N</v>
      </c>
      <c r="H51">
        <v>102</v>
      </c>
      <c r="I51">
        <v>1</v>
      </c>
    </row>
    <row r="52" spans="2:9">
      <c r="B52">
        <v>2</v>
      </c>
      <c r="C52" s="13">
        <v>45232</v>
      </c>
      <c r="D52">
        <v>1</v>
      </c>
      <c r="E52" t="s">
        <v>143</v>
      </c>
      <c r="F52" t="s">
        <v>156</v>
      </c>
      <c r="G52" t="str">
        <f t="shared" si="4"/>
        <v>1A-102-Y</v>
      </c>
      <c r="H52">
        <v>102</v>
      </c>
      <c r="I52">
        <v>0.5</v>
      </c>
    </row>
    <row r="53" spans="2:9">
      <c r="B53">
        <v>3</v>
      </c>
      <c r="C53" s="13">
        <v>45233</v>
      </c>
      <c r="D53">
        <v>1</v>
      </c>
      <c r="E53" t="s">
        <v>143</v>
      </c>
      <c r="F53" t="s">
        <v>155</v>
      </c>
      <c r="G53" t="str">
        <f t="shared" si="4"/>
        <v>1A-103-N</v>
      </c>
      <c r="H53">
        <v>103</v>
      </c>
      <c r="I53">
        <v>1</v>
      </c>
    </row>
    <row r="54" spans="2:9">
      <c r="B54">
        <v>3</v>
      </c>
      <c r="C54" s="13">
        <v>45233</v>
      </c>
      <c r="D54">
        <v>1</v>
      </c>
      <c r="E54" t="s">
        <v>143</v>
      </c>
      <c r="F54" t="s">
        <v>156</v>
      </c>
      <c r="G54" t="str">
        <f t="shared" si="4"/>
        <v>1A-103-Y</v>
      </c>
      <c r="H54">
        <v>103</v>
      </c>
      <c r="I54">
        <v>0.5</v>
      </c>
    </row>
    <row r="55" spans="2:9">
      <c r="B55">
        <v>4</v>
      </c>
      <c r="C55" s="13">
        <v>45234</v>
      </c>
      <c r="D55">
        <v>1</v>
      </c>
      <c r="E55" t="s">
        <v>145</v>
      </c>
      <c r="F55" t="s">
        <v>155</v>
      </c>
      <c r="G55" t="str">
        <f t="shared" si="4"/>
        <v>1B-101-N</v>
      </c>
      <c r="H55">
        <v>101</v>
      </c>
      <c r="I55">
        <v>8</v>
      </c>
    </row>
    <row r="56" spans="2:9">
      <c r="B56">
        <v>4</v>
      </c>
      <c r="C56" s="13">
        <v>45234</v>
      </c>
      <c r="D56">
        <v>1</v>
      </c>
      <c r="E56" t="s">
        <v>145</v>
      </c>
      <c r="F56" t="s">
        <v>156</v>
      </c>
      <c r="G56" t="str">
        <f t="shared" si="4"/>
        <v>1B-101-Y</v>
      </c>
      <c r="H56">
        <v>101</v>
      </c>
      <c r="I56">
        <v>4</v>
      </c>
    </row>
    <row r="57" spans="2:9">
      <c r="B57">
        <v>5</v>
      </c>
      <c r="C57" s="13">
        <v>45235</v>
      </c>
      <c r="D57">
        <v>1</v>
      </c>
      <c r="E57" t="s">
        <v>145</v>
      </c>
      <c r="F57" t="s">
        <v>155</v>
      </c>
      <c r="G57" t="str">
        <f t="shared" si="4"/>
        <v>1B-102-N</v>
      </c>
      <c r="H57">
        <v>102</v>
      </c>
      <c r="I57">
        <v>1</v>
      </c>
    </row>
    <row r="58" spans="2:9">
      <c r="B58">
        <v>5</v>
      </c>
      <c r="C58" s="13">
        <v>45235</v>
      </c>
      <c r="D58">
        <v>1</v>
      </c>
      <c r="E58" t="s">
        <v>145</v>
      </c>
      <c r="F58" t="s">
        <v>156</v>
      </c>
      <c r="G58" t="str">
        <f t="shared" si="4"/>
        <v>1B-102-Y</v>
      </c>
      <c r="H58">
        <v>102</v>
      </c>
      <c r="I58">
        <v>0.5</v>
      </c>
    </row>
    <row r="59" spans="2:9">
      <c r="B59">
        <v>6</v>
      </c>
      <c r="C59" s="13">
        <v>45236</v>
      </c>
      <c r="D59">
        <v>1</v>
      </c>
      <c r="E59" t="s">
        <v>145</v>
      </c>
      <c r="F59" t="s">
        <v>155</v>
      </c>
      <c r="G59" t="str">
        <f t="shared" si="4"/>
        <v>1B-103-N</v>
      </c>
      <c r="H59">
        <v>103</v>
      </c>
      <c r="I59">
        <v>1</v>
      </c>
    </row>
    <row r="60" spans="2:9">
      <c r="B60">
        <v>6</v>
      </c>
      <c r="C60" s="13">
        <v>45236</v>
      </c>
      <c r="D60">
        <v>1</v>
      </c>
      <c r="E60" t="s">
        <v>145</v>
      </c>
      <c r="F60" t="s">
        <v>156</v>
      </c>
      <c r="G60" t="str">
        <f t="shared" si="4"/>
        <v>1B-103-Y</v>
      </c>
      <c r="H60">
        <v>103</v>
      </c>
      <c r="I60">
        <v>0.5</v>
      </c>
    </row>
    <row r="61" spans="2:9">
      <c r="B61">
        <v>7</v>
      </c>
      <c r="C61" s="13">
        <v>45237</v>
      </c>
      <c r="D61">
        <v>2</v>
      </c>
      <c r="E61" t="s">
        <v>143</v>
      </c>
      <c r="F61" t="s">
        <v>155</v>
      </c>
      <c r="G61" t="str">
        <f t="shared" si="4"/>
        <v>2A-101-N</v>
      </c>
      <c r="H61">
        <v>101</v>
      </c>
      <c r="I61">
        <v>5</v>
      </c>
    </row>
    <row r="62" spans="2:9">
      <c r="B62">
        <v>7</v>
      </c>
      <c r="C62" s="13">
        <v>45237</v>
      </c>
      <c r="D62">
        <v>2</v>
      </c>
      <c r="E62" t="s">
        <v>143</v>
      </c>
      <c r="F62" t="s">
        <v>156</v>
      </c>
      <c r="G62" t="str">
        <f t="shared" si="4"/>
        <v>2A-101-Y</v>
      </c>
      <c r="H62">
        <v>101</v>
      </c>
      <c r="I62">
        <v>2</v>
      </c>
    </row>
    <row r="63" spans="2:9">
      <c r="B63">
        <v>8</v>
      </c>
      <c r="C63" s="13">
        <v>45238</v>
      </c>
      <c r="D63">
        <v>2</v>
      </c>
      <c r="E63" t="s">
        <v>143</v>
      </c>
      <c r="F63" t="s">
        <v>155</v>
      </c>
      <c r="G63" t="str">
        <f t="shared" si="4"/>
        <v>2A-102-N</v>
      </c>
      <c r="H63">
        <v>102</v>
      </c>
      <c r="I63">
        <v>1</v>
      </c>
    </row>
    <row r="64" spans="2:9">
      <c r="B64">
        <v>8</v>
      </c>
      <c r="C64" s="13">
        <v>45238</v>
      </c>
      <c r="D64">
        <v>2</v>
      </c>
      <c r="E64" t="s">
        <v>143</v>
      </c>
      <c r="F64" t="s">
        <v>156</v>
      </c>
      <c r="G64" t="str">
        <f t="shared" si="4"/>
        <v>2A-102-Y</v>
      </c>
      <c r="H64">
        <v>102</v>
      </c>
      <c r="I64">
        <v>0.5</v>
      </c>
    </row>
    <row r="65" spans="2:9">
      <c r="B65">
        <v>9</v>
      </c>
      <c r="C65" s="13">
        <v>45239</v>
      </c>
      <c r="D65">
        <v>2</v>
      </c>
      <c r="E65" t="s">
        <v>143</v>
      </c>
      <c r="F65" t="s">
        <v>155</v>
      </c>
      <c r="G65" t="str">
        <f t="shared" si="4"/>
        <v>2A-103-N</v>
      </c>
      <c r="H65">
        <v>103</v>
      </c>
      <c r="I65">
        <v>1</v>
      </c>
    </row>
    <row r="66" spans="2:9">
      <c r="B66">
        <v>9</v>
      </c>
      <c r="C66" s="13">
        <v>45239</v>
      </c>
      <c r="D66">
        <v>2</v>
      </c>
      <c r="E66" t="s">
        <v>143</v>
      </c>
      <c r="F66" t="s">
        <v>156</v>
      </c>
      <c r="G66" t="str">
        <f t="shared" si="4"/>
        <v>2A-103-Y</v>
      </c>
      <c r="H66">
        <v>103</v>
      </c>
      <c r="I66">
        <v>0.5</v>
      </c>
    </row>
    <row r="67" spans="2:9">
      <c r="B67">
        <v>10</v>
      </c>
      <c r="C67" s="13">
        <v>45240</v>
      </c>
      <c r="D67">
        <v>2</v>
      </c>
      <c r="E67" t="s">
        <v>145</v>
      </c>
      <c r="F67" t="s">
        <v>155</v>
      </c>
      <c r="G67" t="str">
        <f t="shared" si="4"/>
        <v>2B-101-N</v>
      </c>
      <c r="H67">
        <v>101</v>
      </c>
      <c r="I67">
        <v>7</v>
      </c>
    </row>
    <row r="68" spans="2:9">
      <c r="B68">
        <v>10</v>
      </c>
      <c r="C68" s="13">
        <v>45240</v>
      </c>
      <c r="D68">
        <v>2</v>
      </c>
      <c r="E68" t="s">
        <v>145</v>
      </c>
      <c r="F68" t="s">
        <v>156</v>
      </c>
      <c r="G68" t="str">
        <f t="shared" si="4"/>
        <v>2B-101-Y</v>
      </c>
      <c r="H68">
        <v>101</v>
      </c>
      <c r="I68">
        <v>3</v>
      </c>
    </row>
    <row r="69" spans="2:9">
      <c r="B69">
        <v>11</v>
      </c>
      <c r="C69" s="13">
        <v>45241</v>
      </c>
      <c r="D69">
        <v>2</v>
      </c>
      <c r="E69" t="s">
        <v>145</v>
      </c>
      <c r="F69" t="s">
        <v>155</v>
      </c>
      <c r="G69" t="str">
        <f t="shared" si="4"/>
        <v>2B-102-N</v>
      </c>
      <c r="H69">
        <v>102</v>
      </c>
      <c r="I69">
        <v>1</v>
      </c>
    </row>
    <row r="70" spans="2:9">
      <c r="B70">
        <v>11</v>
      </c>
      <c r="C70" s="13">
        <v>45241</v>
      </c>
      <c r="D70">
        <v>2</v>
      </c>
      <c r="E70" t="s">
        <v>145</v>
      </c>
      <c r="F70" t="s">
        <v>156</v>
      </c>
      <c r="G70" t="str">
        <f t="shared" si="4"/>
        <v>2B-102-Y</v>
      </c>
      <c r="H70">
        <v>102</v>
      </c>
      <c r="I70">
        <v>0.5</v>
      </c>
    </row>
    <row r="71" spans="2:9">
      <c r="B71">
        <v>12</v>
      </c>
      <c r="C71" s="13">
        <v>45242</v>
      </c>
      <c r="D71">
        <v>2</v>
      </c>
      <c r="E71" t="s">
        <v>145</v>
      </c>
      <c r="F71" t="s">
        <v>155</v>
      </c>
      <c r="G71" t="str">
        <f t="shared" si="4"/>
        <v>2B-103-N</v>
      </c>
      <c r="H71">
        <v>103</v>
      </c>
      <c r="I71">
        <v>1</v>
      </c>
    </row>
    <row r="72" spans="2:9">
      <c r="B72">
        <v>12</v>
      </c>
      <c r="C72" s="13">
        <v>45242</v>
      </c>
      <c r="D72">
        <v>2</v>
      </c>
      <c r="E72" t="s">
        <v>145</v>
      </c>
      <c r="F72" t="s">
        <v>156</v>
      </c>
      <c r="G72" t="str">
        <f t="shared" si="4"/>
        <v>2B-103-Y</v>
      </c>
      <c r="H72">
        <v>103</v>
      </c>
      <c r="I72">
        <v>0.5</v>
      </c>
    </row>
    <row r="73" spans="2:9">
      <c r="B73">
        <v>13</v>
      </c>
      <c r="C73" s="13">
        <v>45243</v>
      </c>
      <c r="D73">
        <v>3</v>
      </c>
      <c r="E73" t="s">
        <v>143</v>
      </c>
      <c r="F73" t="s">
        <v>155</v>
      </c>
      <c r="G73" t="str">
        <f t="shared" si="4"/>
        <v>3A-101-N</v>
      </c>
      <c r="H73">
        <v>101</v>
      </c>
      <c r="I73">
        <v>6</v>
      </c>
    </row>
    <row r="74" spans="2:9">
      <c r="B74">
        <v>14</v>
      </c>
      <c r="C74" s="13">
        <v>45244</v>
      </c>
      <c r="D74">
        <v>3</v>
      </c>
      <c r="E74" t="s">
        <v>143</v>
      </c>
      <c r="F74" t="s">
        <v>155</v>
      </c>
      <c r="G74" t="str">
        <f t="shared" si="4"/>
        <v>3A-102-N</v>
      </c>
      <c r="H74">
        <v>102</v>
      </c>
      <c r="I74">
        <v>1</v>
      </c>
    </row>
    <row r="75" spans="2:9">
      <c r="B75">
        <v>15</v>
      </c>
      <c r="C75" s="13">
        <v>45245</v>
      </c>
      <c r="D75">
        <v>3</v>
      </c>
      <c r="E75" t="s">
        <v>143</v>
      </c>
      <c r="F75" t="s">
        <v>155</v>
      </c>
      <c r="G75" t="str">
        <f t="shared" si="4"/>
        <v>3A-103-N</v>
      </c>
      <c r="H75">
        <v>103</v>
      </c>
      <c r="I75">
        <v>0.5</v>
      </c>
    </row>
    <row r="76" spans="2:9">
      <c r="B76">
        <v>16</v>
      </c>
      <c r="C76" s="13">
        <v>45246</v>
      </c>
      <c r="D76">
        <v>3</v>
      </c>
      <c r="E76" t="s">
        <v>145</v>
      </c>
      <c r="F76" t="s">
        <v>155</v>
      </c>
      <c r="G76" t="str">
        <f t="shared" si="4"/>
        <v>3B-101-N</v>
      </c>
      <c r="H76">
        <v>101</v>
      </c>
      <c r="I76">
        <v>6</v>
      </c>
    </row>
    <row r="77" spans="2:9">
      <c r="B77">
        <v>17</v>
      </c>
      <c r="C77" s="13">
        <v>45247</v>
      </c>
      <c r="D77">
        <v>3</v>
      </c>
      <c r="E77" t="s">
        <v>145</v>
      </c>
      <c r="F77" t="s">
        <v>155</v>
      </c>
      <c r="G77" t="str">
        <f t="shared" si="4"/>
        <v>3B-102-N</v>
      </c>
      <c r="H77">
        <v>102</v>
      </c>
      <c r="I77">
        <v>1</v>
      </c>
    </row>
    <row r="78" spans="2:9">
      <c r="B78">
        <v>18</v>
      </c>
      <c r="C78" s="13">
        <v>45248</v>
      </c>
      <c r="D78">
        <v>3</v>
      </c>
      <c r="E78" t="s">
        <v>145</v>
      </c>
      <c r="F78" t="s">
        <v>155</v>
      </c>
      <c r="G78" t="str">
        <f t="shared" si="4"/>
        <v>3B-103-N</v>
      </c>
      <c r="H78">
        <v>103</v>
      </c>
      <c r="I78">
        <v>0.5</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00F51-C044-4893-AD49-6046A1F3378C}">
  <dimension ref="A1:BO94"/>
  <sheetViews>
    <sheetView zoomScale="125" workbookViewId="0">
      <selection activeCell="G4" sqref="G4"/>
    </sheetView>
  </sheetViews>
  <sheetFormatPr baseColWidth="10" defaultColWidth="8.83203125" defaultRowHeight="15"/>
  <cols>
    <col min="3" max="3" width="10.5" bestFit="1" customWidth="1"/>
    <col min="4" max="4" width="10.5" customWidth="1"/>
    <col min="8" max="8" width="10.5" customWidth="1"/>
    <col min="9" max="9" width="10.33203125" customWidth="1"/>
    <col min="11" max="11" width="10.83203125" customWidth="1"/>
    <col min="12" max="12" width="11.83203125" customWidth="1"/>
    <col min="13" max="23" width="10.5" customWidth="1"/>
    <col min="24" max="24" width="10.33203125" customWidth="1"/>
    <col min="33" max="33" width="4.5" customWidth="1"/>
    <col min="36" max="36" width="10.6640625" customWidth="1"/>
    <col min="37" max="37" width="10.83203125" customWidth="1"/>
    <col min="38" max="38" width="9.6640625" customWidth="1"/>
    <col min="39" max="39" width="10.5" customWidth="1"/>
    <col min="40" max="40" width="10" customWidth="1"/>
    <col min="41" max="47" width="9.5" customWidth="1"/>
    <col min="48" max="48" width="8" customWidth="1"/>
    <col min="49" max="49" width="8.1640625" customWidth="1"/>
    <col min="50" max="50" width="7.6640625" customWidth="1"/>
    <col min="51" max="51" width="9.5" customWidth="1"/>
    <col min="52" max="52" width="11.5" customWidth="1"/>
    <col min="53" max="53" width="11.33203125" customWidth="1"/>
  </cols>
  <sheetData>
    <row r="1" spans="1:67" ht="21">
      <c r="A1" t="s">
        <v>158</v>
      </c>
      <c r="G1" s="14" t="str">
        <f>ReadMeFirst!D1&amp;" "&amp;ReadMeFirst!E1</f>
        <v>Data Set B</v>
      </c>
    </row>
    <row r="2" spans="1:67">
      <c r="G2" s="51" t="s">
        <v>908</v>
      </c>
      <c r="H2" s="51"/>
      <c r="I2" s="51"/>
      <c r="J2" s="51"/>
      <c r="K2" s="51"/>
      <c r="L2" s="51"/>
      <c r="M2" s="51"/>
    </row>
    <row r="6" spans="1:67">
      <c r="F6" t="s">
        <v>159</v>
      </c>
      <c r="AB6">
        <v>1</v>
      </c>
      <c r="AC6">
        <v>4</v>
      </c>
      <c r="AD6">
        <v>3</v>
      </c>
      <c r="AH6" t="s">
        <v>160</v>
      </c>
      <c r="BE6">
        <v>1</v>
      </c>
      <c r="BF6">
        <v>4</v>
      </c>
      <c r="BG6">
        <v>3</v>
      </c>
      <c r="BM6">
        <v>5</v>
      </c>
      <c r="BN6">
        <v>6</v>
      </c>
    </row>
    <row r="7" spans="1:67" s="7" customFormat="1" ht="65.25" customHeight="1">
      <c r="B7" s="7" t="s">
        <v>161</v>
      </c>
      <c r="C7" s="7" t="s">
        <v>398</v>
      </c>
      <c r="D7" s="7" t="s">
        <v>162</v>
      </c>
      <c r="E7" s="7" t="s">
        <v>399</v>
      </c>
      <c r="F7" s="7" t="s">
        <v>400</v>
      </c>
      <c r="G7" s="7" t="s">
        <v>401</v>
      </c>
      <c r="H7" s="7" t="s">
        <v>402</v>
      </c>
      <c r="I7" s="7" t="s">
        <v>403</v>
      </c>
      <c r="J7" s="7" t="s">
        <v>404</v>
      </c>
      <c r="K7" s="7" t="s">
        <v>405</v>
      </c>
      <c r="L7" s="7" t="s">
        <v>406</v>
      </c>
      <c r="M7" s="7" t="s">
        <v>407</v>
      </c>
      <c r="N7" s="7" t="s">
        <v>163</v>
      </c>
      <c r="O7" s="7" t="s">
        <v>164</v>
      </c>
      <c r="P7" s="7" t="s">
        <v>793</v>
      </c>
      <c r="Q7" s="7" t="s">
        <v>794</v>
      </c>
      <c r="R7" s="7" t="s">
        <v>795</v>
      </c>
      <c r="S7" s="7" t="s">
        <v>796</v>
      </c>
      <c r="T7" s="7" t="s">
        <v>165</v>
      </c>
      <c r="U7" s="7" t="s">
        <v>166</v>
      </c>
      <c r="V7" s="7" t="s">
        <v>167</v>
      </c>
      <c r="W7" s="7" t="s">
        <v>168</v>
      </c>
      <c r="X7" s="7" t="s">
        <v>408</v>
      </c>
      <c r="Y7" s="7" t="s">
        <v>122</v>
      </c>
      <c r="Z7" s="7" t="s">
        <v>126</v>
      </c>
      <c r="AA7" s="7" t="s">
        <v>123</v>
      </c>
      <c r="AB7" s="7" t="s">
        <v>169</v>
      </c>
      <c r="AC7" s="7" t="s">
        <v>170</v>
      </c>
      <c r="AD7" s="7" t="s">
        <v>171</v>
      </c>
      <c r="AE7" s="7" t="s">
        <v>172</v>
      </c>
      <c r="AF7" s="7" t="s">
        <v>173</v>
      </c>
      <c r="AH7" s="7" t="s">
        <v>409</v>
      </c>
      <c r="AI7" s="7" t="s">
        <v>401</v>
      </c>
      <c r="AJ7" s="7" t="s">
        <v>402</v>
      </c>
      <c r="AK7" s="7" t="s">
        <v>403</v>
      </c>
      <c r="AL7" s="7" t="s">
        <v>404</v>
      </c>
      <c r="AM7" s="7" t="s">
        <v>405</v>
      </c>
      <c r="AN7" s="7" t="s">
        <v>406</v>
      </c>
      <c r="AO7" s="7" t="s">
        <v>407</v>
      </c>
      <c r="AP7" s="7" t="s">
        <v>174</v>
      </c>
      <c r="AQ7" s="7" t="s">
        <v>164</v>
      </c>
      <c r="AR7" s="7" t="s">
        <v>793</v>
      </c>
      <c r="AS7" s="7" t="s">
        <v>794</v>
      </c>
      <c r="AT7" s="7" t="s">
        <v>795</v>
      </c>
      <c r="AU7" s="7" t="s">
        <v>796</v>
      </c>
      <c r="AV7" s="7" t="s">
        <v>165</v>
      </c>
      <c r="AW7" s="7" t="s">
        <v>166</v>
      </c>
      <c r="AX7" s="7" t="s">
        <v>167</v>
      </c>
      <c r="AY7" s="7" t="s">
        <v>168</v>
      </c>
      <c r="AZ7" s="7" t="s">
        <v>408</v>
      </c>
      <c r="BA7" s="7" t="s">
        <v>408</v>
      </c>
      <c r="BB7" s="7" t="s">
        <v>122</v>
      </c>
      <c r="BC7" s="7" t="s">
        <v>126</v>
      </c>
      <c r="BD7" s="7" t="s">
        <v>123</v>
      </c>
      <c r="BE7" s="7" t="s">
        <v>169</v>
      </c>
      <c r="BF7" s="7" t="s">
        <v>170</v>
      </c>
      <c r="BG7" s="7" t="s">
        <v>171</v>
      </c>
      <c r="BH7" s="7" t="s">
        <v>797</v>
      </c>
      <c r="BI7" s="7" t="s">
        <v>173</v>
      </c>
      <c r="BK7" s="7" t="s">
        <v>108</v>
      </c>
      <c r="BL7" s="7" t="s">
        <v>410</v>
      </c>
      <c r="BM7" s="7" t="s">
        <v>175</v>
      </c>
      <c r="BN7" s="7" t="str">
        <f>BL7&amp; " $"</f>
        <v>Shipper/Receiver/Porter $</v>
      </c>
      <c r="BO7" s="7" t="s">
        <v>176</v>
      </c>
    </row>
    <row r="8" spans="1:67">
      <c r="B8">
        <v>160</v>
      </c>
      <c r="C8" s="15">
        <v>45323</v>
      </c>
      <c r="D8">
        <f>WEEKDAY(C8, 1)</f>
        <v>5</v>
      </c>
      <c r="E8">
        <v>1</v>
      </c>
      <c r="F8">
        <v>119</v>
      </c>
      <c r="G8">
        <v>1260</v>
      </c>
      <c r="H8">
        <v>1050</v>
      </c>
      <c r="I8">
        <v>0</v>
      </c>
      <c r="J8">
        <v>1049.9999999999998</v>
      </c>
      <c r="K8">
        <v>210</v>
      </c>
      <c r="L8">
        <v>0</v>
      </c>
      <c r="M8">
        <v>997</v>
      </c>
      <c r="N8">
        <f>G8-H8</f>
        <v>210</v>
      </c>
      <c r="O8" s="17">
        <f>M8/H8</f>
        <v>0.94952380952380955</v>
      </c>
      <c r="P8" s="19">
        <f>VLOOKUP(F8, 'Other Lists'!$B$13:$H$154, 7, FALSE)</f>
        <v>32</v>
      </c>
      <c r="Q8" s="18">
        <f>VLOOKUP(F8, 'Other Lists'!$B$13:$F$15, 5, FALSE)</f>
        <v>17.8</v>
      </c>
      <c r="R8" s="18">
        <f>VLOOKUP(F8, 'Other Lists'!$B$13:$G$15, 6, FALSE)</f>
        <v>11</v>
      </c>
      <c r="S8" s="18">
        <f>Q8+R8</f>
        <v>28.8</v>
      </c>
      <c r="T8">
        <f>VLOOKUP(F8, 'Other Lists'!$B$13:$H$15, 7, FALSE) * M8</f>
        <v>31904</v>
      </c>
      <c r="U8">
        <f>S8*H8</f>
        <v>30240</v>
      </c>
      <c r="V8">
        <f>T8-U8</f>
        <v>1664</v>
      </c>
      <c r="W8">
        <f>(H8-M8) *P8</f>
        <v>1696</v>
      </c>
      <c r="X8">
        <v>6</v>
      </c>
      <c r="Y8">
        <v>0</v>
      </c>
      <c r="Z8">
        <v>3</v>
      </c>
      <c r="AA8">
        <f>X8-Y8-Z8-1</f>
        <v>2</v>
      </c>
      <c r="AB8">
        <f>VLOOKUP($AB$6, 'Other Lists'!$B$27:$H$32, 7, FALSE) *Y8*8</f>
        <v>0</v>
      </c>
      <c r="AC8">
        <f>VLOOKUP($AC$6, 'Other Lists'!$B$27:$H$32, 7, FALSE) * Z8 * 8</f>
        <v>842.40000000000009</v>
      </c>
      <c r="AD8">
        <f>VLOOKUP($AD$6, 'Other Lists'!$B$27:$H$32, 7, FALSE) * AA8 * 8</f>
        <v>518.4</v>
      </c>
      <c r="AE8">
        <f>SUM($AB$8:$AD$8)</f>
        <v>1360.8000000000002</v>
      </c>
      <c r="AF8" s="18">
        <f>AE8/H8</f>
        <v>1.2960000000000003</v>
      </c>
      <c r="AH8">
        <v>105</v>
      </c>
      <c r="AI8">
        <v>194</v>
      </c>
      <c r="AJ8">
        <v>194</v>
      </c>
      <c r="AK8">
        <v>0</v>
      </c>
      <c r="AL8">
        <v>216</v>
      </c>
      <c r="AM8">
        <v>0</v>
      </c>
      <c r="AN8">
        <v>0</v>
      </c>
      <c r="AO8">
        <v>180</v>
      </c>
      <c r="AP8">
        <f>AI8-AJ8</f>
        <v>0</v>
      </c>
      <c r="AQ8" s="17">
        <f>AO8/AJ8</f>
        <v>0.92783505154639179</v>
      </c>
      <c r="AR8" s="18">
        <f>VLOOKUP($AH$8, 'Other Lists'!$B$13:$H$15, 7, FALSE)</f>
        <v>184</v>
      </c>
      <c r="AS8" s="18">
        <f>VLOOKUP($AH$8, 'Other Lists'!$B$13:$F$15, 5, FALSE)</f>
        <v>129</v>
      </c>
      <c r="AT8" s="18">
        <f>VLOOKUP($AH$8, 'Other Lists'!$B$13:$G$15, 6, FALSE)</f>
        <v>36</v>
      </c>
      <c r="AU8" s="18">
        <f>AS8+AT8</f>
        <v>165</v>
      </c>
      <c r="AV8" s="18">
        <f>VLOOKUP($AH$84, 'Other Lists'!$B$13:$H$15, 7, FALSE) *AO8</f>
        <v>33120</v>
      </c>
      <c r="AW8" s="18">
        <f>AU8*AJ8</f>
        <v>32010</v>
      </c>
      <c r="AX8" s="18">
        <f>AV8-AW8</f>
        <v>1110</v>
      </c>
      <c r="AY8" s="18">
        <f>(AJ8-AO8)*AR8</f>
        <v>2576</v>
      </c>
      <c r="AZ8">
        <v>8</v>
      </c>
      <c r="BA8">
        <v>8</v>
      </c>
      <c r="BB8">
        <v>0</v>
      </c>
      <c r="BC8">
        <v>4</v>
      </c>
      <c r="BD8">
        <f>BA8-BB8-BC8-BK8</f>
        <v>2</v>
      </c>
      <c r="BE8">
        <f>VLOOKUP($BE$6, 'Other Lists'!$B$27:$H$32, 7, FALSE) *BB8*8</f>
        <v>0</v>
      </c>
      <c r="BF8">
        <f>VLOOKUP($BF$6, 'Other Lists'!$B$27:$H$32, 7, FALSE) * BC8 * 8</f>
        <v>1123.2</v>
      </c>
      <c r="BG8">
        <f>VLOOKUP($BG$6, 'Other Lists'!$B$27:$H$32, 7, FALSE) * BD8 * 8</f>
        <v>518.4</v>
      </c>
      <c r="BH8">
        <f>SUM($BE$8:$BG$8)</f>
        <v>1641.6</v>
      </c>
      <c r="BI8">
        <f>BH8/AJ8</f>
        <v>8.4618556701030929</v>
      </c>
      <c r="BK8">
        <v>2</v>
      </c>
      <c r="BL8">
        <v>2</v>
      </c>
      <c r="BM8">
        <f>VLOOKUP($BM$6, 'Other Lists'!$B$27:$H$32, 7, FALSE) * BK8 * 8</f>
        <v>648</v>
      </c>
      <c r="BN8">
        <f>VLOOKUP($BN$6, 'Other Lists'!$B$27:$H$32, 7, FALSE) * BL8 * 8</f>
        <v>648</v>
      </c>
      <c r="BO8">
        <f>SUM(BH8,BM8,BN8)</f>
        <v>2937.6</v>
      </c>
    </row>
    <row r="9" spans="1:67">
      <c r="B9">
        <v>161</v>
      </c>
      <c r="C9" s="15">
        <v>45324</v>
      </c>
      <c r="D9">
        <f t="shared" ref="D9:D72" si="0">WEEKDAY(C9, 1)</f>
        <v>6</v>
      </c>
      <c r="E9">
        <v>1</v>
      </c>
      <c r="F9">
        <v>201</v>
      </c>
      <c r="G9">
        <v>357</v>
      </c>
      <c r="H9">
        <v>357</v>
      </c>
      <c r="I9">
        <v>0</v>
      </c>
      <c r="J9">
        <v>420</v>
      </c>
      <c r="K9">
        <v>0</v>
      </c>
      <c r="L9">
        <v>0</v>
      </c>
      <c r="M9">
        <v>335</v>
      </c>
      <c r="N9">
        <f t="shared" ref="N9:N72" si="1">G9-H9</f>
        <v>0</v>
      </c>
      <c r="O9" s="17">
        <f t="shared" ref="O9:O72" si="2">M9/H9</f>
        <v>0.93837535014005602</v>
      </c>
      <c r="P9" s="19">
        <f>VLOOKUP(F9, 'Other Lists'!$B$13:$H$154, 7, FALSE)</f>
        <v>71</v>
      </c>
      <c r="Q9" s="18">
        <f>VLOOKUP(F9, 'Other Lists'!$B$13:$F$15, 5, FALSE)</f>
        <v>32.6</v>
      </c>
      <c r="R9" s="18">
        <f>VLOOKUP(F9, 'Other Lists'!$B$13:$G$15, 6, FALSE)</f>
        <v>16.5</v>
      </c>
      <c r="S9" s="18">
        <f t="shared" ref="S9:S72" si="3">Q9+R9</f>
        <v>49.1</v>
      </c>
      <c r="T9">
        <f>VLOOKUP(F9, 'Other Lists'!$B$13:$H$15, 7, FALSE) * M9</f>
        <v>23785</v>
      </c>
      <c r="U9">
        <f t="shared" ref="U9:U72" si="4">S9*H9</f>
        <v>17528.7</v>
      </c>
      <c r="V9">
        <f t="shared" ref="V9:V72" si="5">T9-U9</f>
        <v>6256.2999999999993</v>
      </c>
      <c r="W9">
        <f t="shared" ref="W9:W72" si="6">(H9-M9) *P9</f>
        <v>1562</v>
      </c>
      <c r="X9">
        <v>6</v>
      </c>
      <c r="Y9">
        <v>0</v>
      </c>
      <c r="Z9">
        <v>3</v>
      </c>
      <c r="AA9">
        <f t="shared" ref="AA9:AA72" si="7">X9-Y9-Z9-1</f>
        <v>2</v>
      </c>
      <c r="AB9">
        <f>VLOOKUP($AB$6, 'Other Lists'!$B$27:$H$32, 7, FALSE) *Y9*8</f>
        <v>0</v>
      </c>
      <c r="AC9">
        <f>VLOOKUP($AC$6, 'Other Lists'!$B$27:$H$32, 7, FALSE) * Z9 * 8</f>
        <v>842.40000000000009</v>
      </c>
      <c r="AD9">
        <f>VLOOKUP($AD$6, 'Other Lists'!$B$27:$H$32, 7, FALSE) * AA9 * 8</f>
        <v>518.4</v>
      </c>
      <c r="AE9">
        <f t="shared" ref="AE9:AE72" si="8">SUM($AB$8:$AD$8)</f>
        <v>1360.8000000000002</v>
      </c>
      <c r="AF9" s="18">
        <f t="shared" ref="AF9:AF72" si="9">AE9/H9</f>
        <v>3.8117647058823536</v>
      </c>
      <c r="AH9">
        <v>105</v>
      </c>
      <c r="AI9">
        <v>213</v>
      </c>
      <c r="AJ9">
        <v>205</v>
      </c>
      <c r="AK9">
        <v>0</v>
      </c>
      <c r="AL9">
        <v>216</v>
      </c>
      <c r="AM9">
        <v>8</v>
      </c>
      <c r="AN9">
        <v>0</v>
      </c>
      <c r="AO9">
        <v>190</v>
      </c>
      <c r="AP9">
        <f t="shared" ref="AP9:AP72" si="10">AI9-AJ9</f>
        <v>8</v>
      </c>
      <c r="AQ9" s="17">
        <f t="shared" ref="AQ9:AQ72" si="11">AO9/AJ9</f>
        <v>0.92682926829268297</v>
      </c>
      <c r="AR9" s="18">
        <f>VLOOKUP($AH$8, 'Other Lists'!$B$13:$H$15, 7, FALSE)</f>
        <v>184</v>
      </c>
      <c r="AS9" s="18">
        <f>VLOOKUP($AH$8, 'Other Lists'!$B$13:$F$15, 5, FALSE)</f>
        <v>129</v>
      </c>
      <c r="AT9" s="18">
        <f>VLOOKUP($AH$8, 'Other Lists'!$B$13:$G$15, 6, FALSE)</f>
        <v>36</v>
      </c>
      <c r="AU9" s="18">
        <f t="shared" ref="AU9:AU72" si="12">AS9+AT9</f>
        <v>165</v>
      </c>
      <c r="AV9" s="18">
        <f>VLOOKUP($AH$84, 'Other Lists'!$B$13:$H$15, 7, FALSE) *AO9</f>
        <v>34960</v>
      </c>
      <c r="AW9" s="18">
        <f t="shared" ref="AW9:AW72" si="13">AU9*AJ9</f>
        <v>33825</v>
      </c>
      <c r="AX9" s="18">
        <f t="shared" ref="AX9:AX72" si="14">AV9-AW9</f>
        <v>1135</v>
      </c>
      <c r="AY9" s="18">
        <f t="shared" ref="AY9:AY72" si="15">(AJ9-AO9)*AR9</f>
        <v>2760</v>
      </c>
      <c r="AZ9">
        <v>8</v>
      </c>
      <c r="BA9">
        <v>8</v>
      </c>
      <c r="BB9">
        <v>0</v>
      </c>
      <c r="BC9">
        <v>4</v>
      </c>
      <c r="BD9">
        <f t="shared" ref="BD9:BD72" si="16">BA9-BB9-BC9-BK9</f>
        <v>2</v>
      </c>
      <c r="BE9">
        <f>VLOOKUP($BE$6, 'Other Lists'!$B$27:$H$32, 7, FALSE) *BB9*8</f>
        <v>0</v>
      </c>
      <c r="BF9">
        <f>VLOOKUP($BF$6, 'Other Lists'!$B$27:$H$32, 7, FALSE) * BC9 * 8</f>
        <v>1123.2</v>
      </c>
      <c r="BG9">
        <f>VLOOKUP($BG$6, 'Other Lists'!$B$27:$H$32, 7, FALSE) * BD9 * 8</f>
        <v>518.4</v>
      </c>
      <c r="BH9">
        <f t="shared" ref="BH9:BH72" si="17">SUM($BE$8:$BG$8)</f>
        <v>1641.6</v>
      </c>
      <c r="BI9">
        <f t="shared" ref="BI9:BI72" si="18">BH9/AJ9</f>
        <v>8.0078048780487805</v>
      </c>
      <c r="BK9">
        <v>2</v>
      </c>
      <c r="BL9">
        <v>2</v>
      </c>
      <c r="BM9">
        <f>VLOOKUP($BM$6, 'Other Lists'!$B$27:$H$32, 7, FALSE) * BK9 * 8</f>
        <v>648</v>
      </c>
      <c r="BN9">
        <f>VLOOKUP($BN$6, 'Other Lists'!$B$27:$H$32, 7, FALSE) * BL9 * 8</f>
        <v>648</v>
      </c>
      <c r="BO9">
        <f t="shared" ref="BO9:BO72" si="19">SUM(BH9,BM9,BN9)</f>
        <v>2937.6</v>
      </c>
    </row>
    <row r="10" spans="1:67">
      <c r="B10">
        <v>162</v>
      </c>
      <c r="C10" s="15">
        <v>45325</v>
      </c>
      <c r="D10">
        <f t="shared" si="0"/>
        <v>7</v>
      </c>
      <c r="E10">
        <v>1</v>
      </c>
      <c r="F10">
        <v>201</v>
      </c>
      <c r="G10">
        <v>478</v>
      </c>
      <c r="H10">
        <v>441</v>
      </c>
      <c r="I10">
        <v>0</v>
      </c>
      <c r="J10">
        <v>420</v>
      </c>
      <c r="K10">
        <v>37</v>
      </c>
      <c r="L10">
        <v>0</v>
      </c>
      <c r="M10">
        <v>432</v>
      </c>
      <c r="N10">
        <f t="shared" si="1"/>
        <v>37</v>
      </c>
      <c r="O10" s="17">
        <f t="shared" si="2"/>
        <v>0.97959183673469385</v>
      </c>
      <c r="P10" s="19">
        <f>VLOOKUP(F10, 'Other Lists'!$B$13:$H$154, 7, FALSE)</f>
        <v>71</v>
      </c>
      <c r="Q10" s="18">
        <f>VLOOKUP(F10, 'Other Lists'!$B$13:$F$15, 5, FALSE)</f>
        <v>32.6</v>
      </c>
      <c r="R10" s="18">
        <f>VLOOKUP(F10, 'Other Lists'!$B$13:$G$15, 6, FALSE)</f>
        <v>16.5</v>
      </c>
      <c r="S10" s="18">
        <f t="shared" si="3"/>
        <v>49.1</v>
      </c>
      <c r="T10">
        <f>VLOOKUP(F10, 'Other Lists'!$B$13:$H$15, 7, FALSE) * M10</f>
        <v>30672</v>
      </c>
      <c r="U10">
        <f t="shared" si="4"/>
        <v>21653.100000000002</v>
      </c>
      <c r="V10">
        <f t="shared" si="5"/>
        <v>9018.8999999999978</v>
      </c>
      <c r="W10">
        <f t="shared" si="6"/>
        <v>639</v>
      </c>
      <c r="X10">
        <v>6</v>
      </c>
      <c r="Y10">
        <v>0</v>
      </c>
      <c r="Z10">
        <v>4</v>
      </c>
      <c r="AA10">
        <f t="shared" si="7"/>
        <v>1</v>
      </c>
      <c r="AB10">
        <f>VLOOKUP($AB$6, 'Other Lists'!$B$27:$H$32, 7, FALSE) *Y10*8</f>
        <v>0</v>
      </c>
      <c r="AC10">
        <f>VLOOKUP($AC$6, 'Other Lists'!$B$27:$H$32, 7, FALSE) * Z10 * 8</f>
        <v>1123.2</v>
      </c>
      <c r="AD10">
        <f>VLOOKUP($AD$6, 'Other Lists'!$B$27:$H$32, 7, FALSE) * AA10 * 8</f>
        <v>259.2</v>
      </c>
      <c r="AE10">
        <f t="shared" si="8"/>
        <v>1360.8000000000002</v>
      </c>
      <c r="AF10" s="18">
        <f t="shared" si="9"/>
        <v>3.0857142857142863</v>
      </c>
      <c r="AH10">
        <v>105</v>
      </c>
      <c r="AI10">
        <v>259</v>
      </c>
      <c r="AJ10">
        <v>218</v>
      </c>
      <c r="AK10">
        <v>0</v>
      </c>
      <c r="AL10">
        <v>216</v>
      </c>
      <c r="AM10">
        <v>41</v>
      </c>
      <c r="AN10">
        <v>0</v>
      </c>
      <c r="AO10">
        <v>209</v>
      </c>
      <c r="AP10">
        <f t="shared" si="10"/>
        <v>41</v>
      </c>
      <c r="AQ10" s="17">
        <f t="shared" si="11"/>
        <v>0.95871559633027525</v>
      </c>
      <c r="AR10" s="18">
        <f>VLOOKUP($AH$8, 'Other Lists'!$B$13:$H$15, 7, FALSE)</f>
        <v>184</v>
      </c>
      <c r="AS10" s="18">
        <f>VLOOKUP($AH$8, 'Other Lists'!$B$13:$F$15, 5, FALSE)</f>
        <v>129</v>
      </c>
      <c r="AT10" s="18">
        <f>VLOOKUP($AH$8, 'Other Lists'!$B$13:$G$15, 6, FALSE)</f>
        <v>36</v>
      </c>
      <c r="AU10" s="18">
        <f t="shared" si="12"/>
        <v>165</v>
      </c>
      <c r="AV10" s="18">
        <f>VLOOKUP($AH$84, 'Other Lists'!$B$13:$H$15, 7, FALSE) *AO10</f>
        <v>38456</v>
      </c>
      <c r="AW10" s="18">
        <f t="shared" si="13"/>
        <v>35970</v>
      </c>
      <c r="AX10" s="18">
        <f t="shared" si="14"/>
        <v>2486</v>
      </c>
      <c r="AY10" s="18">
        <f t="shared" si="15"/>
        <v>1656</v>
      </c>
      <c r="AZ10">
        <v>8</v>
      </c>
      <c r="BA10">
        <v>8</v>
      </c>
      <c r="BB10">
        <v>1</v>
      </c>
      <c r="BC10">
        <v>3</v>
      </c>
      <c r="BD10">
        <f t="shared" si="16"/>
        <v>3</v>
      </c>
      <c r="BE10">
        <f>VLOOKUP($BE$6, 'Other Lists'!$B$27:$H$32, 7, FALSE) *BB10*8</f>
        <v>194.4</v>
      </c>
      <c r="BF10">
        <f>VLOOKUP($BF$6, 'Other Lists'!$B$27:$H$32, 7, FALSE) * BC10 * 8</f>
        <v>842.40000000000009</v>
      </c>
      <c r="BG10">
        <f>VLOOKUP($BG$6, 'Other Lists'!$B$27:$H$32, 7, FALSE) * BD10 * 8</f>
        <v>777.59999999999991</v>
      </c>
      <c r="BH10">
        <f t="shared" si="17"/>
        <v>1641.6</v>
      </c>
      <c r="BI10">
        <f t="shared" si="18"/>
        <v>7.5302752293577981</v>
      </c>
      <c r="BK10">
        <v>1</v>
      </c>
      <c r="BL10">
        <v>2</v>
      </c>
      <c r="BM10">
        <f>VLOOKUP($BM$6, 'Other Lists'!$B$27:$H$32, 7, FALSE) * BK10 * 8</f>
        <v>324</v>
      </c>
      <c r="BN10">
        <f>VLOOKUP($BN$6, 'Other Lists'!$B$27:$H$32, 7, FALSE) * BL10 * 8</f>
        <v>648</v>
      </c>
      <c r="BO10">
        <f t="shared" si="19"/>
        <v>2613.6</v>
      </c>
    </row>
    <row r="11" spans="1:67">
      <c r="B11">
        <v>163</v>
      </c>
      <c r="C11" s="15">
        <v>45326</v>
      </c>
      <c r="D11">
        <f t="shared" si="0"/>
        <v>1</v>
      </c>
      <c r="E11">
        <v>1</v>
      </c>
      <c r="F11">
        <v>119</v>
      </c>
      <c r="G11">
        <v>619</v>
      </c>
      <c r="H11">
        <v>546</v>
      </c>
      <c r="I11">
        <v>0</v>
      </c>
      <c r="J11">
        <v>524.99999999999989</v>
      </c>
      <c r="K11">
        <v>73</v>
      </c>
      <c r="L11">
        <v>0</v>
      </c>
      <c r="M11">
        <v>529</v>
      </c>
      <c r="N11">
        <f t="shared" si="1"/>
        <v>73</v>
      </c>
      <c r="O11" s="17">
        <f t="shared" si="2"/>
        <v>0.96886446886446886</v>
      </c>
      <c r="P11" s="19">
        <f>VLOOKUP(F11, 'Other Lists'!$B$13:$H$154, 7, FALSE)</f>
        <v>32</v>
      </c>
      <c r="Q11" s="18">
        <f>VLOOKUP(F11, 'Other Lists'!$B$13:$F$15, 5, FALSE)</f>
        <v>17.8</v>
      </c>
      <c r="R11" s="18">
        <f>VLOOKUP(F11, 'Other Lists'!$B$13:$G$15, 6, FALSE)</f>
        <v>11</v>
      </c>
      <c r="S11" s="18">
        <f t="shared" si="3"/>
        <v>28.8</v>
      </c>
      <c r="T11">
        <f>VLOOKUP(F11, 'Other Lists'!$B$13:$H$15, 7, FALSE) * M11</f>
        <v>16928</v>
      </c>
      <c r="U11">
        <f t="shared" si="4"/>
        <v>15724.800000000001</v>
      </c>
      <c r="V11">
        <f t="shared" si="5"/>
        <v>1203.1999999999989</v>
      </c>
      <c r="W11">
        <f t="shared" si="6"/>
        <v>544</v>
      </c>
      <c r="X11">
        <v>3</v>
      </c>
      <c r="Y11">
        <v>0</v>
      </c>
      <c r="Z11">
        <v>2</v>
      </c>
      <c r="AA11">
        <f t="shared" si="7"/>
        <v>0</v>
      </c>
      <c r="AB11">
        <f>VLOOKUP($AB$6, 'Other Lists'!$B$27:$H$32, 7, FALSE) *Y11*8</f>
        <v>0</v>
      </c>
      <c r="AC11">
        <f>VLOOKUP($AC$6, 'Other Lists'!$B$27:$H$32, 7, FALSE) * Z11 * 8</f>
        <v>561.6</v>
      </c>
      <c r="AD11">
        <f>VLOOKUP($AD$6, 'Other Lists'!$B$27:$H$32, 7, FALSE) * AA11 * 8</f>
        <v>0</v>
      </c>
      <c r="AE11">
        <f t="shared" si="8"/>
        <v>1360.8000000000002</v>
      </c>
      <c r="AF11" s="18">
        <f t="shared" si="9"/>
        <v>2.4923076923076928</v>
      </c>
      <c r="AH11">
        <v>105</v>
      </c>
      <c r="AI11">
        <v>101</v>
      </c>
      <c r="AJ11">
        <v>101</v>
      </c>
      <c r="AK11">
        <v>0</v>
      </c>
      <c r="AL11">
        <v>108</v>
      </c>
      <c r="AM11">
        <v>0</v>
      </c>
      <c r="AN11">
        <v>0</v>
      </c>
      <c r="AO11">
        <v>96</v>
      </c>
      <c r="AP11">
        <f t="shared" si="10"/>
        <v>0</v>
      </c>
      <c r="AQ11" s="17">
        <f t="shared" si="11"/>
        <v>0.95049504950495045</v>
      </c>
      <c r="AR11" s="18">
        <f>VLOOKUP($AH$8, 'Other Lists'!$B$13:$H$15, 7, FALSE)</f>
        <v>184</v>
      </c>
      <c r="AS11" s="18">
        <f>VLOOKUP($AH$8, 'Other Lists'!$B$13:$F$15, 5, FALSE)</f>
        <v>129</v>
      </c>
      <c r="AT11" s="18">
        <f>VLOOKUP($AH$8, 'Other Lists'!$B$13:$G$15, 6, FALSE)</f>
        <v>36</v>
      </c>
      <c r="AU11" s="18">
        <f t="shared" si="12"/>
        <v>165</v>
      </c>
      <c r="AV11" s="18">
        <f>VLOOKUP($AH$84, 'Other Lists'!$B$13:$H$15, 7, FALSE) *AO11</f>
        <v>17664</v>
      </c>
      <c r="AW11" s="18">
        <f t="shared" si="13"/>
        <v>16665</v>
      </c>
      <c r="AX11" s="18">
        <f t="shared" si="14"/>
        <v>999</v>
      </c>
      <c r="AY11" s="18">
        <f t="shared" si="15"/>
        <v>920</v>
      </c>
      <c r="AZ11">
        <v>4</v>
      </c>
      <c r="BA11">
        <v>4</v>
      </c>
      <c r="BB11">
        <v>0</v>
      </c>
      <c r="BC11">
        <v>2</v>
      </c>
      <c r="BD11">
        <f t="shared" si="16"/>
        <v>1</v>
      </c>
      <c r="BE11">
        <f>VLOOKUP($BE$6, 'Other Lists'!$B$27:$H$32, 7, FALSE) *BB11*8</f>
        <v>0</v>
      </c>
      <c r="BF11">
        <f>VLOOKUP($BF$6, 'Other Lists'!$B$27:$H$32, 7, FALSE) * BC11 * 8</f>
        <v>561.6</v>
      </c>
      <c r="BG11">
        <f>VLOOKUP($BG$6, 'Other Lists'!$B$27:$H$32, 7, FALSE) * BD11 * 8</f>
        <v>259.2</v>
      </c>
      <c r="BH11">
        <f t="shared" si="17"/>
        <v>1641.6</v>
      </c>
      <c r="BI11">
        <f t="shared" si="18"/>
        <v>16.253465346534654</v>
      </c>
      <c r="BK11">
        <v>1</v>
      </c>
      <c r="BL11">
        <v>1</v>
      </c>
      <c r="BM11">
        <f>VLOOKUP($BM$6, 'Other Lists'!$B$27:$H$32, 7, FALSE) * BK11 * 8</f>
        <v>324</v>
      </c>
      <c r="BN11">
        <f>VLOOKUP($BN$6, 'Other Lists'!$B$27:$H$32, 7, FALSE) * BL11 * 8</f>
        <v>324</v>
      </c>
      <c r="BO11">
        <f t="shared" si="19"/>
        <v>2289.6</v>
      </c>
    </row>
    <row r="12" spans="1:67">
      <c r="B12">
        <v>164</v>
      </c>
      <c r="C12" s="15">
        <v>45327</v>
      </c>
      <c r="D12">
        <f t="shared" si="0"/>
        <v>2</v>
      </c>
      <c r="E12">
        <v>1</v>
      </c>
      <c r="F12">
        <v>201</v>
      </c>
      <c r="G12">
        <v>233</v>
      </c>
      <c r="H12">
        <v>216</v>
      </c>
      <c r="I12">
        <v>0</v>
      </c>
      <c r="J12">
        <v>210</v>
      </c>
      <c r="K12">
        <v>17</v>
      </c>
      <c r="L12">
        <v>0</v>
      </c>
      <c r="M12">
        <v>207</v>
      </c>
      <c r="N12">
        <f t="shared" si="1"/>
        <v>17</v>
      </c>
      <c r="O12" s="17">
        <f t="shared" si="2"/>
        <v>0.95833333333333337</v>
      </c>
      <c r="P12" s="19">
        <f>VLOOKUP(F12, 'Other Lists'!$B$13:$H$154, 7, FALSE)</f>
        <v>71</v>
      </c>
      <c r="Q12" s="18">
        <f>VLOOKUP(F12, 'Other Lists'!$B$13:$F$15, 5, FALSE)</f>
        <v>32.6</v>
      </c>
      <c r="R12" s="18">
        <f>VLOOKUP(F12, 'Other Lists'!$B$13:$G$15, 6, FALSE)</f>
        <v>16.5</v>
      </c>
      <c r="S12" s="18">
        <f t="shared" si="3"/>
        <v>49.1</v>
      </c>
      <c r="T12">
        <f>VLOOKUP(F12, 'Other Lists'!$B$13:$H$15, 7, FALSE) * M12</f>
        <v>14697</v>
      </c>
      <c r="U12">
        <f t="shared" si="4"/>
        <v>10605.6</v>
      </c>
      <c r="V12">
        <f t="shared" si="5"/>
        <v>4091.3999999999996</v>
      </c>
      <c r="W12">
        <f t="shared" si="6"/>
        <v>639</v>
      </c>
      <c r="X12">
        <v>3</v>
      </c>
      <c r="Y12">
        <v>0</v>
      </c>
      <c r="Z12">
        <v>2</v>
      </c>
      <c r="AA12">
        <f t="shared" si="7"/>
        <v>0</v>
      </c>
      <c r="AB12">
        <f>VLOOKUP($AB$6, 'Other Lists'!$B$27:$H$32, 7, FALSE) *Y12*8</f>
        <v>0</v>
      </c>
      <c r="AC12">
        <f>VLOOKUP($AC$6, 'Other Lists'!$B$27:$H$32, 7, FALSE) * Z12 * 8</f>
        <v>561.6</v>
      </c>
      <c r="AD12">
        <f>VLOOKUP($AD$6, 'Other Lists'!$B$27:$H$32, 7, FALSE) * AA12 * 8</f>
        <v>0</v>
      </c>
      <c r="AE12">
        <f t="shared" si="8"/>
        <v>1360.8000000000002</v>
      </c>
      <c r="AF12" s="18">
        <f t="shared" si="9"/>
        <v>6.3000000000000007</v>
      </c>
      <c r="AH12">
        <v>105</v>
      </c>
      <c r="AI12">
        <v>86</v>
      </c>
      <c r="AJ12">
        <v>86</v>
      </c>
      <c r="AK12">
        <v>0</v>
      </c>
      <c r="AL12">
        <v>108</v>
      </c>
      <c r="AM12">
        <v>0</v>
      </c>
      <c r="AN12">
        <v>0</v>
      </c>
      <c r="AO12">
        <v>83</v>
      </c>
      <c r="AP12">
        <f t="shared" si="10"/>
        <v>0</v>
      </c>
      <c r="AQ12" s="17">
        <f t="shared" si="11"/>
        <v>0.96511627906976749</v>
      </c>
      <c r="AR12" s="18">
        <f>VLOOKUP($AH$8, 'Other Lists'!$B$13:$H$15, 7, FALSE)</f>
        <v>184</v>
      </c>
      <c r="AS12" s="18">
        <f>VLOOKUP($AH$8, 'Other Lists'!$B$13:$F$15, 5, FALSE)</f>
        <v>129</v>
      </c>
      <c r="AT12" s="18">
        <f>VLOOKUP($AH$8, 'Other Lists'!$B$13:$G$15, 6, FALSE)</f>
        <v>36</v>
      </c>
      <c r="AU12" s="18">
        <f t="shared" si="12"/>
        <v>165</v>
      </c>
      <c r="AV12" s="18">
        <f>VLOOKUP($AH$84, 'Other Lists'!$B$13:$H$15, 7, FALSE) *AO12</f>
        <v>15272</v>
      </c>
      <c r="AW12" s="18">
        <f t="shared" si="13"/>
        <v>14190</v>
      </c>
      <c r="AX12" s="18">
        <f t="shared" si="14"/>
        <v>1082</v>
      </c>
      <c r="AY12" s="18">
        <f t="shared" si="15"/>
        <v>552</v>
      </c>
      <c r="AZ12">
        <v>4</v>
      </c>
      <c r="BA12">
        <v>4</v>
      </c>
      <c r="BB12">
        <v>0</v>
      </c>
      <c r="BC12">
        <v>2</v>
      </c>
      <c r="BD12">
        <f t="shared" si="16"/>
        <v>1</v>
      </c>
      <c r="BE12">
        <f>VLOOKUP($BE$6, 'Other Lists'!$B$27:$H$32, 7, FALSE) *BB12*8</f>
        <v>0</v>
      </c>
      <c r="BF12">
        <f>VLOOKUP($BF$6, 'Other Lists'!$B$27:$H$32, 7, FALSE) * BC12 * 8</f>
        <v>561.6</v>
      </c>
      <c r="BG12">
        <f>VLOOKUP($BG$6, 'Other Lists'!$B$27:$H$32, 7, FALSE) * BD12 * 8</f>
        <v>259.2</v>
      </c>
      <c r="BH12">
        <f t="shared" si="17"/>
        <v>1641.6</v>
      </c>
      <c r="BI12">
        <f t="shared" si="18"/>
        <v>19.088372093023256</v>
      </c>
      <c r="BK12">
        <v>1</v>
      </c>
      <c r="BL12">
        <v>1</v>
      </c>
      <c r="BM12">
        <f>VLOOKUP($BM$6, 'Other Lists'!$B$27:$H$32, 7, FALSE) * BK12 * 8</f>
        <v>324</v>
      </c>
      <c r="BN12">
        <f>VLOOKUP($BN$6, 'Other Lists'!$B$27:$H$32, 7, FALSE) * BL12 * 8</f>
        <v>324</v>
      </c>
      <c r="BO12">
        <f t="shared" si="19"/>
        <v>2289.6</v>
      </c>
    </row>
    <row r="13" spans="1:67">
      <c r="B13">
        <v>165</v>
      </c>
      <c r="C13" s="15">
        <v>45328</v>
      </c>
      <c r="D13">
        <f t="shared" si="0"/>
        <v>3</v>
      </c>
      <c r="E13">
        <v>1</v>
      </c>
      <c r="F13">
        <v>119</v>
      </c>
      <c r="G13">
        <v>1228</v>
      </c>
      <c r="H13">
        <v>1050</v>
      </c>
      <c r="I13">
        <v>0</v>
      </c>
      <c r="J13">
        <v>1049.9999999999998</v>
      </c>
      <c r="K13">
        <v>178</v>
      </c>
      <c r="L13">
        <v>0</v>
      </c>
      <c r="M13">
        <v>976</v>
      </c>
      <c r="N13">
        <f t="shared" si="1"/>
        <v>178</v>
      </c>
      <c r="O13" s="17">
        <f t="shared" si="2"/>
        <v>0.92952380952380953</v>
      </c>
      <c r="P13" s="19">
        <f>VLOOKUP(F13, 'Other Lists'!$B$13:$H$154, 7, FALSE)</f>
        <v>32</v>
      </c>
      <c r="Q13" s="18">
        <f>VLOOKUP(F13, 'Other Lists'!$B$13:$F$15, 5, FALSE)</f>
        <v>17.8</v>
      </c>
      <c r="R13" s="18">
        <f>VLOOKUP(F13, 'Other Lists'!$B$13:$G$15, 6, FALSE)</f>
        <v>11</v>
      </c>
      <c r="S13" s="18">
        <f t="shared" si="3"/>
        <v>28.8</v>
      </c>
      <c r="T13">
        <f>VLOOKUP(F13, 'Other Lists'!$B$13:$H$15, 7, FALSE) * M13</f>
        <v>31232</v>
      </c>
      <c r="U13">
        <f t="shared" si="4"/>
        <v>30240</v>
      </c>
      <c r="V13">
        <f t="shared" si="5"/>
        <v>992</v>
      </c>
      <c r="W13">
        <f t="shared" si="6"/>
        <v>2368</v>
      </c>
      <c r="X13">
        <v>6</v>
      </c>
      <c r="Y13">
        <v>0</v>
      </c>
      <c r="Z13">
        <v>4</v>
      </c>
      <c r="AA13">
        <f t="shared" si="7"/>
        <v>1</v>
      </c>
      <c r="AB13">
        <f>VLOOKUP($AB$6, 'Other Lists'!$B$27:$H$32, 7, FALSE) *Y13*8</f>
        <v>0</v>
      </c>
      <c r="AC13">
        <f>VLOOKUP($AC$6, 'Other Lists'!$B$27:$H$32, 7, FALSE) * Z13 * 8</f>
        <v>1123.2</v>
      </c>
      <c r="AD13">
        <f>VLOOKUP($AD$6, 'Other Lists'!$B$27:$H$32, 7, FALSE) * AA13 * 8</f>
        <v>259.2</v>
      </c>
      <c r="AE13">
        <f t="shared" si="8"/>
        <v>1360.8000000000002</v>
      </c>
      <c r="AF13" s="18">
        <f t="shared" si="9"/>
        <v>1.2960000000000003</v>
      </c>
      <c r="AH13">
        <v>105</v>
      </c>
      <c r="AI13">
        <v>181</v>
      </c>
      <c r="AJ13">
        <v>181</v>
      </c>
      <c r="AK13">
        <v>0</v>
      </c>
      <c r="AL13">
        <v>216</v>
      </c>
      <c r="AM13">
        <v>0</v>
      </c>
      <c r="AN13">
        <v>0</v>
      </c>
      <c r="AO13">
        <v>171</v>
      </c>
      <c r="AP13">
        <f t="shared" si="10"/>
        <v>0</v>
      </c>
      <c r="AQ13" s="17">
        <f t="shared" si="11"/>
        <v>0.94475138121546964</v>
      </c>
      <c r="AR13" s="18">
        <f>VLOOKUP($AH$8, 'Other Lists'!$B$13:$H$15, 7, FALSE)</f>
        <v>184</v>
      </c>
      <c r="AS13" s="18">
        <f>VLOOKUP($AH$8, 'Other Lists'!$B$13:$F$15, 5, FALSE)</f>
        <v>129</v>
      </c>
      <c r="AT13" s="18">
        <f>VLOOKUP($AH$8, 'Other Lists'!$B$13:$G$15, 6, FALSE)</f>
        <v>36</v>
      </c>
      <c r="AU13" s="18">
        <f t="shared" si="12"/>
        <v>165</v>
      </c>
      <c r="AV13" s="18">
        <f>VLOOKUP($AH$84, 'Other Lists'!$B$13:$H$15, 7, FALSE) *AO13</f>
        <v>31464</v>
      </c>
      <c r="AW13" s="18">
        <f t="shared" si="13"/>
        <v>29865</v>
      </c>
      <c r="AX13" s="18">
        <f t="shared" si="14"/>
        <v>1599</v>
      </c>
      <c r="AY13" s="18">
        <f t="shared" si="15"/>
        <v>1840</v>
      </c>
      <c r="AZ13">
        <v>8</v>
      </c>
      <c r="BA13">
        <v>8</v>
      </c>
      <c r="BB13">
        <v>0</v>
      </c>
      <c r="BC13">
        <v>3</v>
      </c>
      <c r="BD13">
        <f t="shared" si="16"/>
        <v>3</v>
      </c>
      <c r="BE13">
        <f>VLOOKUP($BE$6, 'Other Lists'!$B$27:$H$32, 7, FALSE) *BB13*8</f>
        <v>0</v>
      </c>
      <c r="BF13">
        <f>VLOOKUP($BF$6, 'Other Lists'!$B$27:$H$32, 7, FALSE) * BC13 * 8</f>
        <v>842.40000000000009</v>
      </c>
      <c r="BG13">
        <f>VLOOKUP($BG$6, 'Other Lists'!$B$27:$H$32, 7, FALSE) * BD13 * 8</f>
        <v>777.59999999999991</v>
      </c>
      <c r="BH13">
        <f t="shared" si="17"/>
        <v>1641.6</v>
      </c>
      <c r="BI13">
        <f t="shared" si="18"/>
        <v>9.0696132596685075</v>
      </c>
      <c r="BK13">
        <v>2</v>
      </c>
      <c r="BL13">
        <v>2</v>
      </c>
      <c r="BM13">
        <f>VLOOKUP($BM$6, 'Other Lists'!$B$27:$H$32, 7, FALSE) * BK13 * 8</f>
        <v>648</v>
      </c>
      <c r="BN13">
        <f>VLOOKUP($BN$6, 'Other Lists'!$B$27:$H$32, 7, FALSE) * BL13 * 8</f>
        <v>648</v>
      </c>
      <c r="BO13">
        <f t="shared" si="19"/>
        <v>2937.6</v>
      </c>
    </row>
    <row r="14" spans="1:67">
      <c r="B14">
        <v>166</v>
      </c>
      <c r="C14" s="15">
        <v>45329</v>
      </c>
      <c r="D14">
        <f t="shared" si="0"/>
        <v>4</v>
      </c>
      <c r="E14">
        <v>1</v>
      </c>
      <c r="F14">
        <v>201</v>
      </c>
      <c r="G14">
        <v>394</v>
      </c>
      <c r="H14">
        <v>357</v>
      </c>
      <c r="I14">
        <v>0</v>
      </c>
      <c r="J14">
        <v>420</v>
      </c>
      <c r="K14">
        <v>37</v>
      </c>
      <c r="L14">
        <v>0</v>
      </c>
      <c r="M14">
        <v>346</v>
      </c>
      <c r="N14">
        <f t="shared" si="1"/>
        <v>37</v>
      </c>
      <c r="O14" s="17">
        <f t="shared" si="2"/>
        <v>0.96918767507002801</v>
      </c>
      <c r="P14" s="19">
        <f>VLOOKUP(F14, 'Other Lists'!$B$13:$H$154, 7, FALSE)</f>
        <v>71</v>
      </c>
      <c r="Q14" s="18">
        <f>VLOOKUP(F14, 'Other Lists'!$B$13:$F$15, 5, FALSE)</f>
        <v>32.6</v>
      </c>
      <c r="R14" s="18">
        <f>VLOOKUP(F14, 'Other Lists'!$B$13:$G$15, 6, FALSE)</f>
        <v>16.5</v>
      </c>
      <c r="S14" s="18">
        <f t="shared" si="3"/>
        <v>49.1</v>
      </c>
      <c r="T14">
        <f>VLOOKUP(F14, 'Other Lists'!$B$13:$H$15, 7, FALSE) * M14</f>
        <v>24566</v>
      </c>
      <c r="U14">
        <f t="shared" si="4"/>
        <v>17528.7</v>
      </c>
      <c r="V14">
        <f t="shared" si="5"/>
        <v>7037.2999999999993</v>
      </c>
      <c r="W14">
        <f t="shared" si="6"/>
        <v>781</v>
      </c>
      <c r="X14">
        <v>5</v>
      </c>
      <c r="Y14">
        <v>0</v>
      </c>
      <c r="Z14">
        <v>3</v>
      </c>
      <c r="AA14">
        <f t="shared" si="7"/>
        <v>1</v>
      </c>
      <c r="AB14">
        <f>VLOOKUP($AB$6, 'Other Lists'!$B$27:$H$32, 7, FALSE) *Y14*8</f>
        <v>0</v>
      </c>
      <c r="AC14">
        <f>VLOOKUP($AC$6, 'Other Lists'!$B$27:$H$32, 7, FALSE) * Z14 * 8</f>
        <v>842.40000000000009</v>
      </c>
      <c r="AD14">
        <f>VLOOKUP($AD$6, 'Other Lists'!$B$27:$H$32, 7, FALSE) * AA14 * 8</f>
        <v>259.2</v>
      </c>
      <c r="AE14">
        <f t="shared" si="8"/>
        <v>1360.8000000000002</v>
      </c>
      <c r="AF14" s="18">
        <f t="shared" si="9"/>
        <v>3.8117647058823536</v>
      </c>
      <c r="AH14">
        <v>105</v>
      </c>
      <c r="AI14">
        <v>233</v>
      </c>
      <c r="AJ14">
        <v>207</v>
      </c>
      <c r="AK14">
        <v>0</v>
      </c>
      <c r="AL14">
        <v>216</v>
      </c>
      <c r="AM14">
        <v>26</v>
      </c>
      <c r="AN14">
        <v>0</v>
      </c>
      <c r="AO14">
        <v>192</v>
      </c>
      <c r="AP14">
        <f t="shared" si="10"/>
        <v>26</v>
      </c>
      <c r="AQ14" s="17">
        <f t="shared" si="11"/>
        <v>0.92753623188405798</v>
      </c>
      <c r="AR14" s="18">
        <f>VLOOKUP($AH$8, 'Other Lists'!$B$13:$H$15, 7, FALSE)</f>
        <v>184</v>
      </c>
      <c r="AS14" s="18">
        <f>VLOOKUP($AH$8, 'Other Lists'!$B$13:$F$15, 5, FALSE)</f>
        <v>129</v>
      </c>
      <c r="AT14" s="18">
        <f>VLOOKUP($AH$8, 'Other Lists'!$B$13:$G$15, 6, FALSE)</f>
        <v>36</v>
      </c>
      <c r="AU14" s="18">
        <f t="shared" si="12"/>
        <v>165</v>
      </c>
      <c r="AV14" s="18">
        <f>VLOOKUP($AH$84, 'Other Lists'!$B$13:$H$15, 7, FALSE) *AO14</f>
        <v>35328</v>
      </c>
      <c r="AW14" s="18">
        <f t="shared" si="13"/>
        <v>34155</v>
      </c>
      <c r="AX14" s="18">
        <f t="shared" si="14"/>
        <v>1173</v>
      </c>
      <c r="AY14" s="18">
        <f t="shared" si="15"/>
        <v>2760</v>
      </c>
      <c r="AZ14">
        <v>8</v>
      </c>
      <c r="BA14">
        <v>8</v>
      </c>
      <c r="BB14">
        <v>0</v>
      </c>
      <c r="BC14">
        <v>4</v>
      </c>
      <c r="BD14">
        <f t="shared" si="16"/>
        <v>2</v>
      </c>
      <c r="BE14">
        <f>VLOOKUP($BE$6, 'Other Lists'!$B$27:$H$32, 7, FALSE) *BB14*8</f>
        <v>0</v>
      </c>
      <c r="BF14">
        <f>VLOOKUP($BF$6, 'Other Lists'!$B$27:$H$32, 7, FALSE) * BC14 * 8</f>
        <v>1123.2</v>
      </c>
      <c r="BG14">
        <f>VLOOKUP($BG$6, 'Other Lists'!$B$27:$H$32, 7, FALSE) * BD14 * 8</f>
        <v>518.4</v>
      </c>
      <c r="BH14">
        <f t="shared" si="17"/>
        <v>1641.6</v>
      </c>
      <c r="BI14">
        <f t="shared" si="18"/>
        <v>7.9304347826086952</v>
      </c>
      <c r="BK14">
        <v>2</v>
      </c>
      <c r="BL14">
        <v>2</v>
      </c>
      <c r="BM14">
        <f>VLOOKUP($BM$6, 'Other Lists'!$B$27:$H$32, 7, FALSE) * BK14 * 8</f>
        <v>648</v>
      </c>
      <c r="BN14">
        <f>VLOOKUP($BN$6, 'Other Lists'!$B$27:$H$32, 7, FALSE) * BL14 * 8</f>
        <v>648</v>
      </c>
      <c r="BO14">
        <f t="shared" si="19"/>
        <v>2937.6</v>
      </c>
    </row>
    <row r="15" spans="1:67">
      <c r="B15">
        <v>167</v>
      </c>
      <c r="C15" s="15">
        <v>45330</v>
      </c>
      <c r="D15">
        <f t="shared" si="0"/>
        <v>5</v>
      </c>
      <c r="E15">
        <v>1</v>
      </c>
      <c r="F15">
        <v>201</v>
      </c>
      <c r="G15">
        <v>420</v>
      </c>
      <c r="H15">
        <v>403</v>
      </c>
      <c r="I15">
        <v>0</v>
      </c>
      <c r="J15">
        <v>420</v>
      </c>
      <c r="K15">
        <v>17</v>
      </c>
      <c r="L15">
        <v>0</v>
      </c>
      <c r="M15">
        <v>394</v>
      </c>
      <c r="N15">
        <f t="shared" si="1"/>
        <v>17</v>
      </c>
      <c r="O15" s="17">
        <f t="shared" si="2"/>
        <v>0.97766749379652607</v>
      </c>
      <c r="P15" s="19">
        <f>VLOOKUP(F15, 'Other Lists'!$B$13:$H$154, 7, FALSE)</f>
        <v>71</v>
      </c>
      <c r="Q15" s="18">
        <f>VLOOKUP(F15, 'Other Lists'!$B$13:$F$15, 5, FALSE)</f>
        <v>32.6</v>
      </c>
      <c r="R15" s="18">
        <f>VLOOKUP(F15, 'Other Lists'!$B$13:$G$15, 6, FALSE)</f>
        <v>16.5</v>
      </c>
      <c r="S15" s="18">
        <f t="shared" si="3"/>
        <v>49.1</v>
      </c>
      <c r="T15">
        <f>VLOOKUP(F15, 'Other Lists'!$B$13:$H$15, 7, FALSE) * M15</f>
        <v>27974</v>
      </c>
      <c r="U15">
        <f t="shared" si="4"/>
        <v>19787.3</v>
      </c>
      <c r="V15">
        <f t="shared" si="5"/>
        <v>8186.7000000000007</v>
      </c>
      <c r="W15">
        <f t="shared" si="6"/>
        <v>639</v>
      </c>
      <c r="X15">
        <v>6</v>
      </c>
      <c r="Y15">
        <v>1</v>
      </c>
      <c r="Z15">
        <v>4</v>
      </c>
      <c r="AA15">
        <f t="shared" si="7"/>
        <v>0</v>
      </c>
      <c r="AB15">
        <f>VLOOKUP($AB$6, 'Other Lists'!$B$27:$H$32, 7, FALSE) *Y15*8</f>
        <v>194.4</v>
      </c>
      <c r="AC15">
        <f>VLOOKUP($AC$6, 'Other Lists'!$B$27:$H$32, 7, FALSE) * Z15 * 8</f>
        <v>1123.2</v>
      </c>
      <c r="AD15">
        <f>VLOOKUP($AD$6, 'Other Lists'!$B$27:$H$32, 7, FALSE) * AA15 * 8</f>
        <v>0</v>
      </c>
      <c r="AE15">
        <f t="shared" si="8"/>
        <v>1360.8000000000002</v>
      </c>
      <c r="AF15" s="18">
        <f t="shared" si="9"/>
        <v>3.376674937965261</v>
      </c>
      <c r="AH15">
        <v>105</v>
      </c>
      <c r="AI15">
        <v>203</v>
      </c>
      <c r="AJ15">
        <v>186</v>
      </c>
      <c r="AK15">
        <v>0</v>
      </c>
      <c r="AL15">
        <v>216</v>
      </c>
      <c r="AM15">
        <v>17</v>
      </c>
      <c r="AN15">
        <v>0</v>
      </c>
      <c r="AO15">
        <v>182</v>
      </c>
      <c r="AP15">
        <f t="shared" si="10"/>
        <v>17</v>
      </c>
      <c r="AQ15" s="17">
        <f t="shared" si="11"/>
        <v>0.978494623655914</v>
      </c>
      <c r="AR15" s="18">
        <f>VLOOKUP($AH$8, 'Other Lists'!$B$13:$H$15, 7, FALSE)</f>
        <v>184</v>
      </c>
      <c r="AS15" s="18">
        <f>VLOOKUP($AH$8, 'Other Lists'!$B$13:$F$15, 5, FALSE)</f>
        <v>129</v>
      </c>
      <c r="AT15" s="18">
        <f>VLOOKUP($AH$8, 'Other Lists'!$B$13:$G$15, 6, FALSE)</f>
        <v>36</v>
      </c>
      <c r="AU15" s="18">
        <f t="shared" si="12"/>
        <v>165</v>
      </c>
      <c r="AV15" s="18">
        <f>VLOOKUP($AH$84, 'Other Lists'!$B$13:$H$15, 7, FALSE) *AO15</f>
        <v>33488</v>
      </c>
      <c r="AW15" s="18">
        <f t="shared" si="13"/>
        <v>30690</v>
      </c>
      <c r="AX15" s="18">
        <f t="shared" si="14"/>
        <v>2798</v>
      </c>
      <c r="AY15" s="18">
        <f t="shared" si="15"/>
        <v>736</v>
      </c>
      <c r="AZ15">
        <v>8</v>
      </c>
      <c r="BA15">
        <v>7</v>
      </c>
      <c r="BB15">
        <v>1</v>
      </c>
      <c r="BC15">
        <v>3</v>
      </c>
      <c r="BD15">
        <f t="shared" si="16"/>
        <v>1</v>
      </c>
      <c r="BE15">
        <f>VLOOKUP($BE$6, 'Other Lists'!$B$27:$H$32, 7, FALSE) *BB15*8</f>
        <v>194.4</v>
      </c>
      <c r="BF15">
        <f>VLOOKUP($BF$6, 'Other Lists'!$B$27:$H$32, 7, FALSE) * BC15 * 8</f>
        <v>842.40000000000009</v>
      </c>
      <c r="BG15">
        <f>VLOOKUP($BG$6, 'Other Lists'!$B$27:$H$32, 7, FALSE) * BD15 * 8</f>
        <v>259.2</v>
      </c>
      <c r="BH15">
        <f t="shared" si="17"/>
        <v>1641.6</v>
      </c>
      <c r="BI15">
        <f t="shared" si="18"/>
        <v>8.8258064516129036</v>
      </c>
      <c r="BK15">
        <v>2</v>
      </c>
      <c r="BL15">
        <v>2</v>
      </c>
      <c r="BM15">
        <f>VLOOKUP($BM$6, 'Other Lists'!$B$27:$H$32, 7, FALSE) * BK15 * 8</f>
        <v>648</v>
      </c>
      <c r="BN15">
        <f>VLOOKUP($BN$6, 'Other Lists'!$B$27:$H$32, 7, FALSE) * BL15 * 8</f>
        <v>648</v>
      </c>
      <c r="BO15">
        <f t="shared" si="19"/>
        <v>2937.6</v>
      </c>
    </row>
    <row r="16" spans="1:67">
      <c r="B16">
        <v>168</v>
      </c>
      <c r="C16" s="15">
        <v>45331</v>
      </c>
      <c r="D16">
        <f t="shared" si="0"/>
        <v>6</v>
      </c>
      <c r="E16">
        <v>1</v>
      </c>
      <c r="F16">
        <v>119</v>
      </c>
      <c r="G16">
        <v>1123</v>
      </c>
      <c r="H16">
        <v>924</v>
      </c>
      <c r="I16">
        <v>0</v>
      </c>
      <c r="J16">
        <v>1049.9999999999998</v>
      </c>
      <c r="K16">
        <v>199</v>
      </c>
      <c r="L16">
        <v>0</v>
      </c>
      <c r="M16">
        <v>905</v>
      </c>
      <c r="N16">
        <f t="shared" si="1"/>
        <v>199</v>
      </c>
      <c r="O16" s="17">
        <f t="shared" si="2"/>
        <v>0.97943722943722944</v>
      </c>
      <c r="P16" s="19">
        <f>VLOOKUP(F16, 'Other Lists'!$B$13:$H$154, 7, FALSE)</f>
        <v>32</v>
      </c>
      <c r="Q16" s="18">
        <f>VLOOKUP(F16, 'Other Lists'!$B$13:$F$15, 5, FALSE)</f>
        <v>17.8</v>
      </c>
      <c r="R16" s="18">
        <f>VLOOKUP(F16, 'Other Lists'!$B$13:$G$15, 6, FALSE)</f>
        <v>11</v>
      </c>
      <c r="S16" s="18">
        <f t="shared" si="3"/>
        <v>28.8</v>
      </c>
      <c r="T16">
        <f>VLOOKUP(F16, 'Other Lists'!$B$13:$H$15, 7, FALSE) * M16</f>
        <v>28960</v>
      </c>
      <c r="U16">
        <f t="shared" si="4"/>
        <v>26611.200000000001</v>
      </c>
      <c r="V16">
        <f t="shared" si="5"/>
        <v>2348.7999999999993</v>
      </c>
      <c r="W16">
        <f t="shared" si="6"/>
        <v>608</v>
      </c>
      <c r="X16">
        <v>6</v>
      </c>
      <c r="Y16">
        <v>1</v>
      </c>
      <c r="Z16">
        <v>3</v>
      </c>
      <c r="AA16">
        <f t="shared" si="7"/>
        <v>1</v>
      </c>
      <c r="AB16">
        <f>VLOOKUP($AB$6, 'Other Lists'!$B$27:$H$32, 7, FALSE) *Y16*8</f>
        <v>194.4</v>
      </c>
      <c r="AC16">
        <f>VLOOKUP($AC$6, 'Other Lists'!$B$27:$H$32, 7, FALSE) * Z16 * 8</f>
        <v>842.40000000000009</v>
      </c>
      <c r="AD16">
        <f>VLOOKUP($AD$6, 'Other Lists'!$B$27:$H$32, 7, FALSE) * AA16 * 8</f>
        <v>259.2</v>
      </c>
      <c r="AE16">
        <f t="shared" si="8"/>
        <v>1360.8000000000002</v>
      </c>
      <c r="AF16" s="18">
        <f t="shared" si="9"/>
        <v>1.4727272727272729</v>
      </c>
      <c r="AH16">
        <v>105</v>
      </c>
      <c r="AI16">
        <v>216</v>
      </c>
      <c r="AJ16">
        <v>211</v>
      </c>
      <c r="AK16">
        <v>0</v>
      </c>
      <c r="AL16">
        <v>216</v>
      </c>
      <c r="AM16">
        <v>5</v>
      </c>
      <c r="AN16">
        <v>0</v>
      </c>
      <c r="AO16">
        <v>202</v>
      </c>
      <c r="AP16">
        <f t="shared" si="10"/>
        <v>5</v>
      </c>
      <c r="AQ16" s="17">
        <f t="shared" si="11"/>
        <v>0.95734597156398105</v>
      </c>
      <c r="AR16" s="18">
        <f>VLOOKUP($AH$8, 'Other Lists'!$B$13:$H$15, 7, FALSE)</f>
        <v>184</v>
      </c>
      <c r="AS16" s="18">
        <f>VLOOKUP($AH$8, 'Other Lists'!$B$13:$F$15, 5, FALSE)</f>
        <v>129</v>
      </c>
      <c r="AT16" s="18">
        <f>VLOOKUP($AH$8, 'Other Lists'!$B$13:$G$15, 6, FALSE)</f>
        <v>36</v>
      </c>
      <c r="AU16" s="18">
        <f t="shared" si="12"/>
        <v>165</v>
      </c>
      <c r="AV16" s="18">
        <f>VLOOKUP($AH$84, 'Other Lists'!$B$13:$H$15, 7, FALSE) *AO16</f>
        <v>37168</v>
      </c>
      <c r="AW16" s="18">
        <f t="shared" si="13"/>
        <v>34815</v>
      </c>
      <c r="AX16" s="18">
        <f t="shared" si="14"/>
        <v>2353</v>
      </c>
      <c r="AY16" s="18">
        <f t="shared" si="15"/>
        <v>1656</v>
      </c>
      <c r="AZ16">
        <v>8</v>
      </c>
      <c r="BA16">
        <v>8</v>
      </c>
      <c r="BB16">
        <v>0</v>
      </c>
      <c r="BC16">
        <v>4</v>
      </c>
      <c r="BD16">
        <f t="shared" si="16"/>
        <v>2</v>
      </c>
      <c r="BE16">
        <f>VLOOKUP($BE$6, 'Other Lists'!$B$27:$H$32, 7, FALSE) *BB16*8</f>
        <v>0</v>
      </c>
      <c r="BF16">
        <f>VLOOKUP($BF$6, 'Other Lists'!$B$27:$H$32, 7, FALSE) * BC16 * 8</f>
        <v>1123.2</v>
      </c>
      <c r="BG16">
        <f>VLOOKUP($BG$6, 'Other Lists'!$B$27:$H$32, 7, FALSE) * BD16 * 8</f>
        <v>518.4</v>
      </c>
      <c r="BH16">
        <f t="shared" si="17"/>
        <v>1641.6</v>
      </c>
      <c r="BI16">
        <f t="shared" si="18"/>
        <v>7.7800947867298573</v>
      </c>
      <c r="BK16">
        <v>2</v>
      </c>
      <c r="BL16">
        <v>2</v>
      </c>
      <c r="BM16">
        <f>VLOOKUP($BM$6, 'Other Lists'!$B$27:$H$32, 7, FALSE) * BK16 * 8</f>
        <v>648</v>
      </c>
      <c r="BN16">
        <f>VLOOKUP($BN$6, 'Other Lists'!$B$27:$H$32, 7, FALSE) * BL16 * 8</f>
        <v>648</v>
      </c>
      <c r="BO16">
        <f t="shared" si="19"/>
        <v>2937.6</v>
      </c>
    </row>
    <row r="17" spans="2:67">
      <c r="B17">
        <v>169</v>
      </c>
      <c r="C17" s="15">
        <v>45332</v>
      </c>
      <c r="D17">
        <f t="shared" si="0"/>
        <v>7</v>
      </c>
      <c r="E17">
        <v>1</v>
      </c>
      <c r="F17">
        <v>119</v>
      </c>
      <c r="G17">
        <v>1050</v>
      </c>
      <c r="H17">
        <v>866</v>
      </c>
      <c r="I17">
        <v>0</v>
      </c>
      <c r="J17">
        <v>1049.9999999999998</v>
      </c>
      <c r="K17">
        <v>184</v>
      </c>
      <c r="L17">
        <v>0</v>
      </c>
      <c r="M17">
        <v>831</v>
      </c>
      <c r="N17">
        <f t="shared" si="1"/>
        <v>184</v>
      </c>
      <c r="O17" s="17">
        <f t="shared" si="2"/>
        <v>0.9595842956120092</v>
      </c>
      <c r="P17" s="19">
        <f>VLOOKUP(F17, 'Other Lists'!$B$13:$H$154, 7, FALSE)</f>
        <v>32</v>
      </c>
      <c r="Q17" s="18">
        <f>VLOOKUP(F17, 'Other Lists'!$B$13:$F$15, 5, FALSE)</f>
        <v>17.8</v>
      </c>
      <c r="R17" s="18">
        <f>VLOOKUP(F17, 'Other Lists'!$B$13:$G$15, 6, FALSE)</f>
        <v>11</v>
      </c>
      <c r="S17" s="18">
        <f t="shared" si="3"/>
        <v>28.8</v>
      </c>
      <c r="T17">
        <f>VLOOKUP(F17, 'Other Lists'!$B$13:$H$15, 7, FALSE) * M17</f>
        <v>26592</v>
      </c>
      <c r="U17">
        <f t="shared" si="4"/>
        <v>24940.799999999999</v>
      </c>
      <c r="V17">
        <f t="shared" si="5"/>
        <v>1651.2000000000007</v>
      </c>
      <c r="W17">
        <f t="shared" si="6"/>
        <v>1120</v>
      </c>
      <c r="X17">
        <v>5</v>
      </c>
      <c r="Y17">
        <v>0</v>
      </c>
      <c r="Z17">
        <v>4</v>
      </c>
      <c r="AA17">
        <f t="shared" si="7"/>
        <v>0</v>
      </c>
      <c r="AB17">
        <f>VLOOKUP($AB$6, 'Other Lists'!$B$27:$H$32, 7, FALSE) *Y17*8</f>
        <v>0</v>
      </c>
      <c r="AC17">
        <f>VLOOKUP($AC$6, 'Other Lists'!$B$27:$H$32, 7, FALSE) * Z17 * 8</f>
        <v>1123.2</v>
      </c>
      <c r="AD17">
        <f>VLOOKUP($AD$6, 'Other Lists'!$B$27:$H$32, 7, FALSE) * AA17 * 8</f>
        <v>0</v>
      </c>
      <c r="AE17">
        <f t="shared" si="8"/>
        <v>1360.8000000000002</v>
      </c>
      <c r="AF17" s="18">
        <f t="shared" si="9"/>
        <v>1.5713625866050811</v>
      </c>
      <c r="AH17">
        <v>105</v>
      </c>
      <c r="AI17">
        <v>194</v>
      </c>
      <c r="AJ17">
        <v>170</v>
      </c>
      <c r="AK17">
        <v>0</v>
      </c>
      <c r="AL17">
        <v>216</v>
      </c>
      <c r="AM17">
        <v>24</v>
      </c>
      <c r="AN17">
        <v>0</v>
      </c>
      <c r="AO17">
        <v>164</v>
      </c>
      <c r="AP17">
        <f t="shared" si="10"/>
        <v>24</v>
      </c>
      <c r="AQ17" s="17">
        <f t="shared" si="11"/>
        <v>0.96470588235294119</v>
      </c>
      <c r="AR17" s="18">
        <f>VLOOKUP($AH$8, 'Other Lists'!$B$13:$H$15, 7, FALSE)</f>
        <v>184</v>
      </c>
      <c r="AS17" s="18">
        <f>VLOOKUP($AH$8, 'Other Lists'!$B$13:$F$15, 5, FALSE)</f>
        <v>129</v>
      </c>
      <c r="AT17" s="18">
        <f>VLOOKUP($AH$8, 'Other Lists'!$B$13:$G$15, 6, FALSE)</f>
        <v>36</v>
      </c>
      <c r="AU17" s="18">
        <f t="shared" si="12"/>
        <v>165</v>
      </c>
      <c r="AV17" s="18">
        <f>VLOOKUP($AH$84, 'Other Lists'!$B$13:$H$15, 7, FALSE) *AO17</f>
        <v>30176</v>
      </c>
      <c r="AW17" s="18">
        <f t="shared" si="13"/>
        <v>28050</v>
      </c>
      <c r="AX17" s="18">
        <f t="shared" si="14"/>
        <v>2126</v>
      </c>
      <c r="AY17" s="18">
        <f t="shared" si="15"/>
        <v>1104</v>
      </c>
      <c r="AZ17">
        <v>8</v>
      </c>
      <c r="BA17">
        <v>7</v>
      </c>
      <c r="BB17">
        <v>1</v>
      </c>
      <c r="BC17">
        <v>3</v>
      </c>
      <c r="BD17">
        <f t="shared" si="16"/>
        <v>1</v>
      </c>
      <c r="BE17">
        <f>VLOOKUP($BE$6, 'Other Lists'!$B$27:$H$32, 7, FALSE) *BB17*8</f>
        <v>194.4</v>
      </c>
      <c r="BF17">
        <f>VLOOKUP($BF$6, 'Other Lists'!$B$27:$H$32, 7, FALSE) * BC17 * 8</f>
        <v>842.40000000000009</v>
      </c>
      <c r="BG17">
        <f>VLOOKUP($BG$6, 'Other Lists'!$B$27:$H$32, 7, FALSE) * BD17 * 8</f>
        <v>259.2</v>
      </c>
      <c r="BH17">
        <f t="shared" si="17"/>
        <v>1641.6</v>
      </c>
      <c r="BI17">
        <f t="shared" si="18"/>
        <v>9.6564705882352939</v>
      </c>
      <c r="BK17">
        <v>2</v>
      </c>
      <c r="BL17">
        <v>2</v>
      </c>
      <c r="BM17">
        <f>VLOOKUP($BM$6, 'Other Lists'!$B$27:$H$32, 7, FALSE) * BK17 * 8</f>
        <v>648</v>
      </c>
      <c r="BN17">
        <f>VLOOKUP($BN$6, 'Other Lists'!$B$27:$H$32, 7, FALSE) * BL17 * 8</f>
        <v>648</v>
      </c>
      <c r="BO17">
        <f t="shared" si="19"/>
        <v>2937.6</v>
      </c>
    </row>
    <row r="18" spans="2:67">
      <c r="B18">
        <v>170</v>
      </c>
      <c r="C18" s="15">
        <v>45333</v>
      </c>
      <c r="D18">
        <f t="shared" si="0"/>
        <v>1</v>
      </c>
      <c r="E18">
        <v>1</v>
      </c>
      <c r="F18">
        <v>201</v>
      </c>
      <c r="G18">
        <v>178</v>
      </c>
      <c r="H18">
        <v>178</v>
      </c>
      <c r="I18">
        <v>0</v>
      </c>
      <c r="J18">
        <v>210</v>
      </c>
      <c r="K18">
        <v>0</v>
      </c>
      <c r="L18">
        <v>0</v>
      </c>
      <c r="M18">
        <v>169</v>
      </c>
      <c r="N18">
        <f t="shared" si="1"/>
        <v>0</v>
      </c>
      <c r="O18" s="17">
        <f t="shared" si="2"/>
        <v>0.949438202247191</v>
      </c>
      <c r="P18" s="19">
        <f>VLOOKUP(F18, 'Other Lists'!$B$13:$H$154, 7, FALSE)</f>
        <v>71</v>
      </c>
      <c r="Q18" s="18">
        <f>VLOOKUP(F18, 'Other Lists'!$B$13:$F$15, 5, FALSE)</f>
        <v>32.6</v>
      </c>
      <c r="R18" s="18">
        <f>VLOOKUP(F18, 'Other Lists'!$B$13:$G$15, 6, FALSE)</f>
        <v>16.5</v>
      </c>
      <c r="S18" s="18">
        <f t="shared" si="3"/>
        <v>49.1</v>
      </c>
      <c r="T18">
        <f>VLOOKUP(F18, 'Other Lists'!$B$13:$H$15, 7, FALSE) * M18</f>
        <v>11999</v>
      </c>
      <c r="U18">
        <f t="shared" si="4"/>
        <v>8739.8000000000011</v>
      </c>
      <c r="V18">
        <f t="shared" si="5"/>
        <v>3259.1999999999989</v>
      </c>
      <c r="W18">
        <f t="shared" si="6"/>
        <v>639</v>
      </c>
      <c r="X18">
        <v>3</v>
      </c>
      <c r="Y18">
        <v>0</v>
      </c>
      <c r="Z18">
        <v>2</v>
      </c>
      <c r="AA18">
        <f t="shared" si="7"/>
        <v>0</v>
      </c>
      <c r="AB18">
        <f>VLOOKUP($AB$6, 'Other Lists'!$B$27:$H$32, 7, FALSE) *Y18*8</f>
        <v>0</v>
      </c>
      <c r="AC18">
        <f>VLOOKUP($AC$6, 'Other Lists'!$B$27:$H$32, 7, FALSE) * Z18 * 8</f>
        <v>561.6</v>
      </c>
      <c r="AD18">
        <f>VLOOKUP($AD$6, 'Other Lists'!$B$27:$H$32, 7, FALSE) * AA18 * 8</f>
        <v>0</v>
      </c>
      <c r="AE18">
        <f t="shared" si="8"/>
        <v>1360.8000000000002</v>
      </c>
      <c r="AF18" s="18">
        <f t="shared" si="9"/>
        <v>7.6449438202247197</v>
      </c>
      <c r="AH18">
        <v>105</v>
      </c>
      <c r="AI18">
        <v>92</v>
      </c>
      <c r="AJ18">
        <v>92</v>
      </c>
      <c r="AK18">
        <v>0</v>
      </c>
      <c r="AL18">
        <v>108</v>
      </c>
      <c r="AM18">
        <v>0</v>
      </c>
      <c r="AN18">
        <v>0</v>
      </c>
      <c r="AO18">
        <v>86</v>
      </c>
      <c r="AP18">
        <f t="shared" si="10"/>
        <v>0</v>
      </c>
      <c r="AQ18" s="17">
        <f t="shared" si="11"/>
        <v>0.93478260869565222</v>
      </c>
      <c r="AR18" s="18">
        <f>VLOOKUP($AH$8, 'Other Lists'!$B$13:$H$15, 7, FALSE)</f>
        <v>184</v>
      </c>
      <c r="AS18" s="18">
        <f>VLOOKUP($AH$8, 'Other Lists'!$B$13:$F$15, 5, FALSE)</f>
        <v>129</v>
      </c>
      <c r="AT18" s="18">
        <f>VLOOKUP($AH$8, 'Other Lists'!$B$13:$G$15, 6, FALSE)</f>
        <v>36</v>
      </c>
      <c r="AU18" s="18">
        <f t="shared" si="12"/>
        <v>165</v>
      </c>
      <c r="AV18" s="18">
        <f>VLOOKUP($AH$84, 'Other Lists'!$B$13:$H$15, 7, FALSE) *AO18</f>
        <v>15824</v>
      </c>
      <c r="AW18" s="18">
        <f t="shared" si="13"/>
        <v>15180</v>
      </c>
      <c r="AX18" s="18">
        <f t="shared" si="14"/>
        <v>644</v>
      </c>
      <c r="AY18" s="18">
        <f t="shared" si="15"/>
        <v>1104</v>
      </c>
      <c r="AZ18">
        <v>4</v>
      </c>
      <c r="BA18">
        <v>4</v>
      </c>
      <c r="BB18">
        <v>0</v>
      </c>
      <c r="BC18">
        <v>2</v>
      </c>
      <c r="BD18">
        <f t="shared" si="16"/>
        <v>1</v>
      </c>
      <c r="BE18">
        <f>VLOOKUP($BE$6, 'Other Lists'!$B$27:$H$32, 7, FALSE) *BB18*8</f>
        <v>0</v>
      </c>
      <c r="BF18">
        <f>VLOOKUP($BF$6, 'Other Lists'!$B$27:$H$32, 7, FALSE) * BC18 * 8</f>
        <v>561.6</v>
      </c>
      <c r="BG18">
        <f>VLOOKUP($BG$6, 'Other Lists'!$B$27:$H$32, 7, FALSE) * BD18 * 8</f>
        <v>259.2</v>
      </c>
      <c r="BH18">
        <f t="shared" si="17"/>
        <v>1641.6</v>
      </c>
      <c r="BI18">
        <f t="shared" si="18"/>
        <v>17.843478260869563</v>
      </c>
      <c r="BK18">
        <v>1</v>
      </c>
      <c r="BL18">
        <v>1</v>
      </c>
      <c r="BM18">
        <f>VLOOKUP($BM$6, 'Other Lists'!$B$27:$H$32, 7, FALSE) * BK18 * 8</f>
        <v>324</v>
      </c>
      <c r="BN18">
        <f>VLOOKUP($BN$6, 'Other Lists'!$B$27:$H$32, 7, FALSE) * BL18 * 8</f>
        <v>324</v>
      </c>
      <c r="BO18">
        <f t="shared" si="19"/>
        <v>2289.6</v>
      </c>
    </row>
    <row r="19" spans="2:67">
      <c r="B19">
        <v>171</v>
      </c>
      <c r="C19" s="15">
        <v>45334</v>
      </c>
      <c r="D19">
        <f t="shared" si="0"/>
        <v>2</v>
      </c>
      <c r="E19">
        <v>1</v>
      </c>
      <c r="F19">
        <v>201</v>
      </c>
      <c r="G19">
        <v>176</v>
      </c>
      <c r="H19">
        <v>176</v>
      </c>
      <c r="I19">
        <v>0</v>
      </c>
      <c r="J19">
        <v>210</v>
      </c>
      <c r="K19">
        <v>0</v>
      </c>
      <c r="L19">
        <v>0</v>
      </c>
      <c r="M19">
        <v>170</v>
      </c>
      <c r="N19">
        <f t="shared" si="1"/>
        <v>0</v>
      </c>
      <c r="O19" s="17">
        <f t="shared" si="2"/>
        <v>0.96590909090909094</v>
      </c>
      <c r="P19" s="19">
        <f>VLOOKUP(F19, 'Other Lists'!$B$13:$H$154, 7, FALSE)</f>
        <v>71</v>
      </c>
      <c r="Q19" s="18">
        <f>VLOOKUP(F19, 'Other Lists'!$B$13:$F$15, 5, FALSE)</f>
        <v>32.6</v>
      </c>
      <c r="R19" s="18">
        <f>VLOOKUP(F19, 'Other Lists'!$B$13:$G$15, 6, FALSE)</f>
        <v>16.5</v>
      </c>
      <c r="S19" s="18">
        <f t="shared" si="3"/>
        <v>49.1</v>
      </c>
      <c r="T19">
        <f>VLOOKUP(F19, 'Other Lists'!$B$13:$H$15, 7, FALSE) * M19</f>
        <v>12070</v>
      </c>
      <c r="U19">
        <f t="shared" si="4"/>
        <v>8641.6</v>
      </c>
      <c r="V19">
        <f t="shared" si="5"/>
        <v>3428.3999999999996</v>
      </c>
      <c r="W19">
        <f t="shared" si="6"/>
        <v>426</v>
      </c>
      <c r="X19">
        <v>3</v>
      </c>
      <c r="Y19">
        <v>0</v>
      </c>
      <c r="Z19">
        <v>2</v>
      </c>
      <c r="AA19">
        <f t="shared" si="7"/>
        <v>0</v>
      </c>
      <c r="AB19">
        <f>VLOOKUP($AB$6, 'Other Lists'!$B$27:$H$32, 7, FALSE) *Y19*8</f>
        <v>0</v>
      </c>
      <c r="AC19">
        <f>VLOOKUP($AC$6, 'Other Lists'!$B$27:$H$32, 7, FALSE) * Z19 * 8</f>
        <v>561.6</v>
      </c>
      <c r="AD19">
        <f>VLOOKUP($AD$6, 'Other Lists'!$B$27:$H$32, 7, FALSE) * AA19 * 8</f>
        <v>0</v>
      </c>
      <c r="AE19">
        <f t="shared" si="8"/>
        <v>1360.8000000000002</v>
      </c>
      <c r="AF19" s="18">
        <f t="shared" si="9"/>
        <v>7.7318181818181833</v>
      </c>
      <c r="AH19">
        <v>105</v>
      </c>
      <c r="AI19">
        <v>91</v>
      </c>
      <c r="AJ19">
        <v>91</v>
      </c>
      <c r="AK19">
        <v>0</v>
      </c>
      <c r="AL19">
        <v>108</v>
      </c>
      <c r="AM19">
        <v>0</v>
      </c>
      <c r="AN19">
        <v>0</v>
      </c>
      <c r="AO19">
        <v>88</v>
      </c>
      <c r="AP19">
        <f t="shared" si="10"/>
        <v>0</v>
      </c>
      <c r="AQ19" s="17">
        <f t="shared" si="11"/>
        <v>0.96703296703296704</v>
      </c>
      <c r="AR19" s="18">
        <f>VLOOKUP($AH$8, 'Other Lists'!$B$13:$H$15, 7, FALSE)</f>
        <v>184</v>
      </c>
      <c r="AS19" s="18">
        <f>VLOOKUP($AH$8, 'Other Lists'!$B$13:$F$15, 5, FALSE)</f>
        <v>129</v>
      </c>
      <c r="AT19" s="18">
        <f>VLOOKUP($AH$8, 'Other Lists'!$B$13:$G$15, 6, FALSE)</f>
        <v>36</v>
      </c>
      <c r="AU19" s="18">
        <f t="shared" si="12"/>
        <v>165</v>
      </c>
      <c r="AV19" s="18">
        <f>VLOOKUP($AH$84, 'Other Lists'!$B$13:$H$15, 7, FALSE) *AO19</f>
        <v>16192</v>
      </c>
      <c r="AW19" s="18">
        <f t="shared" si="13"/>
        <v>15015</v>
      </c>
      <c r="AX19" s="18">
        <f t="shared" si="14"/>
        <v>1177</v>
      </c>
      <c r="AY19" s="18">
        <f t="shared" si="15"/>
        <v>552</v>
      </c>
      <c r="AZ19">
        <v>4</v>
      </c>
      <c r="BA19">
        <v>4</v>
      </c>
      <c r="BB19">
        <v>0</v>
      </c>
      <c r="BC19">
        <v>2</v>
      </c>
      <c r="BD19">
        <f t="shared" si="16"/>
        <v>1</v>
      </c>
      <c r="BE19">
        <f>VLOOKUP($BE$6, 'Other Lists'!$B$27:$H$32, 7, FALSE) *BB19*8</f>
        <v>0</v>
      </c>
      <c r="BF19">
        <f>VLOOKUP($BF$6, 'Other Lists'!$B$27:$H$32, 7, FALSE) * BC19 * 8</f>
        <v>561.6</v>
      </c>
      <c r="BG19">
        <f>VLOOKUP($BG$6, 'Other Lists'!$B$27:$H$32, 7, FALSE) * BD19 * 8</f>
        <v>259.2</v>
      </c>
      <c r="BH19">
        <f t="shared" si="17"/>
        <v>1641.6</v>
      </c>
      <c r="BI19">
        <f t="shared" si="18"/>
        <v>18.039560439560439</v>
      </c>
      <c r="BK19">
        <v>1</v>
      </c>
      <c r="BL19">
        <v>1</v>
      </c>
      <c r="BM19">
        <f>VLOOKUP($BM$6, 'Other Lists'!$B$27:$H$32, 7, FALSE) * BK19 * 8</f>
        <v>324</v>
      </c>
      <c r="BN19">
        <f>VLOOKUP($BN$6, 'Other Lists'!$B$27:$H$32, 7, FALSE) * BL19 * 8</f>
        <v>324</v>
      </c>
      <c r="BO19">
        <f t="shared" si="19"/>
        <v>2289.6</v>
      </c>
    </row>
    <row r="20" spans="2:67">
      <c r="B20">
        <v>172</v>
      </c>
      <c r="C20" s="15">
        <v>45335</v>
      </c>
      <c r="D20">
        <f t="shared" si="0"/>
        <v>3</v>
      </c>
      <c r="E20">
        <v>1</v>
      </c>
      <c r="F20">
        <v>201</v>
      </c>
      <c r="G20">
        <v>344</v>
      </c>
      <c r="H20">
        <v>344</v>
      </c>
      <c r="I20">
        <v>0</v>
      </c>
      <c r="J20">
        <v>420</v>
      </c>
      <c r="K20">
        <v>0</v>
      </c>
      <c r="L20">
        <v>0</v>
      </c>
      <c r="M20">
        <v>337</v>
      </c>
      <c r="N20">
        <f t="shared" si="1"/>
        <v>0</v>
      </c>
      <c r="O20" s="17">
        <f t="shared" si="2"/>
        <v>0.97965116279069764</v>
      </c>
      <c r="P20" s="19">
        <f>VLOOKUP(F20, 'Other Lists'!$B$13:$H$154, 7, FALSE)</f>
        <v>71</v>
      </c>
      <c r="Q20" s="18">
        <f>VLOOKUP(F20, 'Other Lists'!$B$13:$F$15, 5, FALSE)</f>
        <v>32.6</v>
      </c>
      <c r="R20" s="18">
        <f>VLOOKUP(F20, 'Other Lists'!$B$13:$G$15, 6, FALSE)</f>
        <v>16.5</v>
      </c>
      <c r="S20" s="18">
        <f t="shared" si="3"/>
        <v>49.1</v>
      </c>
      <c r="T20">
        <f>VLOOKUP(F20, 'Other Lists'!$B$13:$H$15, 7, FALSE) * M20</f>
        <v>23927</v>
      </c>
      <c r="U20">
        <f t="shared" si="4"/>
        <v>16890.400000000001</v>
      </c>
      <c r="V20">
        <f t="shared" si="5"/>
        <v>7036.5999999999985</v>
      </c>
      <c r="W20">
        <f t="shared" si="6"/>
        <v>497</v>
      </c>
      <c r="X20">
        <v>6</v>
      </c>
      <c r="Y20">
        <v>1</v>
      </c>
      <c r="Z20">
        <v>3</v>
      </c>
      <c r="AA20">
        <f t="shared" si="7"/>
        <v>1</v>
      </c>
      <c r="AB20">
        <f>VLOOKUP($AB$6, 'Other Lists'!$B$27:$H$32, 7, FALSE) *Y20*8</f>
        <v>194.4</v>
      </c>
      <c r="AC20">
        <f>VLOOKUP($AC$6, 'Other Lists'!$B$27:$H$32, 7, FALSE) * Z20 * 8</f>
        <v>842.40000000000009</v>
      </c>
      <c r="AD20">
        <f>VLOOKUP($AD$6, 'Other Lists'!$B$27:$H$32, 7, FALSE) * AA20 * 8</f>
        <v>259.2</v>
      </c>
      <c r="AE20">
        <f t="shared" si="8"/>
        <v>1360.8000000000002</v>
      </c>
      <c r="AF20" s="18">
        <f t="shared" si="9"/>
        <v>3.9558139534883727</v>
      </c>
      <c r="AH20">
        <v>105</v>
      </c>
      <c r="AI20">
        <v>209</v>
      </c>
      <c r="AJ20">
        <v>207</v>
      </c>
      <c r="AK20">
        <v>0</v>
      </c>
      <c r="AL20">
        <v>216</v>
      </c>
      <c r="AM20">
        <v>2</v>
      </c>
      <c r="AN20">
        <v>0</v>
      </c>
      <c r="AO20">
        <v>200</v>
      </c>
      <c r="AP20">
        <f t="shared" si="10"/>
        <v>2</v>
      </c>
      <c r="AQ20" s="17">
        <f t="shared" si="11"/>
        <v>0.96618357487922701</v>
      </c>
      <c r="AR20" s="18">
        <f>VLOOKUP($AH$8, 'Other Lists'!$B$13:$H$15, 7, FALSE)</f>
        <v>184</v>
      </c>
      <c r="AS20" s="18">
        <f>VLOOKUP($AH$8, 'Other Lists'!$B$13:$F$15, 5, FALSE)</f>
        <v>129</v>
      </c>
      <c r="AT20" s="18">
        <f>VLOOKUP($AH$8, 'Other Lists'!$B$13:$G$15, 6, FALSE)</f>
        <v>36</v>
      </c>
      <c r="AU20" s="18">
        <f t="shared" si="12"/>
        <v>165</v>
      </c>
      <c r="AV20" s="18">
        <f>VLOOKUP($AH$84, 'Other Lists'!$B$13:$H$15, 7, FALSE) *AO20</f>
        <v>36800</v>
      </c>
      <c r="AW20" s="18">
        <f t="shared" si="13"/>
        <v>34155</v>
      </c>
      <c r="AX20" s="18">
        <f t="shared" si="14"/>
        <v>2645</v>
      </c>
      <c r="AY20" s="18">
        <f t="shared" si="15"/>
        <v>1288</v>
      </c>
      <c r="AZ20">
        <v>8</v>
      </c>
      <c r="BA20">
        <v>8</v>
      </c>
      <c r="BB20">
        <v>0</v>
      </c>
      <c r="BC20">
        <v>3</v>
      </c>
      <c r="BD20">
        <f t="shared" si="16"/>
        <v>3</v>
      </c>
      <c r="BE20">
        <f>VLOOKUP($BE$6, 'Other Lists'!$B$27:$H$32, 7, FALSE) *BB20*8</f>
        <v>0</v>
      </c>
      <c r="BF20">
        <f>VLOOKUP($BF$6, 'Other Lists'!$B$27:$H$32, 7, FALSE) * BC20 * 8</f>
        <v>842.40000000000009</v>
      </c>
      <c r="BG20">
        <f>VLOOKUP($BG$6, 'Other Lists'!$B$27:$H$32, 7, FALSE) * BD20 * 8</f>
        <v>777.59999999999991</v>
      </c>
      <c r="BH20">
        <f t="shared" si="17"/>
        <v>1641.6</v>
      </c>
      <c r="BI20">
        <f t="shared" si="18"/>
        <v>7.9304347826086952</v>
      </c>
      <c r="BK20">
        <v>2</v>
      </c>
      <c r="BL20">
        <v>2</v>
      </c>
      <c r="BM20">
        <f>VLOOKUP($BM$6, 'Other Lists'!$B$27:$H$32, 7, FALSE) * BK20 * 8</f>
        <v>648</v>
      </c>
      <c r="BN20">
        <f>VLOOKUP($BN$6, 'Other Lists'!$B$27:$H$32, 7, FALSE) * BL20 * 8</f>
        <v>648</v>
      </c>
      <c r="BO20">
        <f t="shared" si="19"/>
        <v>2937.6</v>
      </c>
    </row>
    <row r="21" spans="2:67">
      <c r="B21">
        <v>173</v>
      </c>
      <c r="C21" s="15">
        <v>45336</v>
      </c>
      <c r="D21">
        <f t="shared" si="0"/>
        <v>4</v>
      </c>
      <c r="E21">
        <v>1</v>
      </c>
      <c r="F21">
        <v>201</v>
      </c>
      <c r="G21">
        <v>420</v>
      </c>
      <c r="H21">
        <v>420</v>
      </c>
      <c r="I21">
        <v>0</v>
      </c>
      <c r="J21">
        <v>420</v>
      </c>
      <c r="K21">
        <v>0</v>
      </c>
      <c r="L21">
        <v>0</v>
      </c>
      <c r="M21">
        <v>403</v>
      </c>
      <c r="N21">
        <f t="shared" si="1"/>
        <v>0</v>
      </c>
      <c r="O21" s="17">
        <f t="shared" si="2"/>
        <v>0.95952380952380956</v>
      </c>
      <c r="P21" s="19">
        <f>VLOOKUP(F21, 'Other Lists'!$B$13:$H$154, 7, FALSE)</f>
        <v>71</v>
      </c>
      <c r="Q21" s="18">
        <f>VLOOKUP(F21, 'Other Lists'!$B$13:$F$15, 5, FALSE)</f>
        <v>32.6</v>
      </c>
      <c r="R21" s="18">
        <f>VLOOKUP(F21, 'Other Lists'!$B$13:$G$15, 6, FALSE)</f>
        <v>16.5</v>
      </c>
      <c r="S21" s="18">
        <f t="shared" si="3"/>
        <v>49.1</v>
      </c>
      <c r="T21">
        <f>VLOOKUP(F21, 'Other Lists'!$B$13:$H$15, 7, FALSE) * M21</f>
        <v>28613</v>
      </c>
      <c r="U21">
        <f t="shared" si="4"/>
        <v>20622</v>
      </c>
      <c r="V21">
        <f t="shared" si="5"/>
        <v>7991</v>
      </c>
      <c r="W21">
        <f t="shared" si="6"/>
        <v>1207</v>
      </c>
      <c r="X21">
        <v>6</v>
      </c>
      <c r="Y21">
        <v>0</v>
      </c>
      <c r="Z21">
        <v>4</v>
      </c>
      <c r="AA21">
        <f t="shared" si="7"/>
        <v>1</v>
      </c>
      <c r="AB21">
        <f>VLOOKUP($AB$6, 'Other Lists'!$B$27:$H$32, 7, FALSE) *Y21*8</f>
        <v>0</v>
      </c>
      <c r="AC21">
        <f>VLOOKUP($AC$6, 'Other Lists'!$B$27:$H$32, 7, FALSE) * Z21 * 8</f>
        <v>1123.2</v>
      </c>
      <c r="AD21">
        <f>VLOOKUP($AD$6, 'Other Lists'!$B$27:$H$32, 7, FALSE) * AA21 * 8</f>
        <v>259.2</v>
      </c>
      <c r="AE21">
        <f t="shared" si="8"/>
        <v>1360.8000000000002</v>
      </c>
      <c r="AF21" s="18">
        <f t="shared" si="9"/>
        <v>3.24</v>
      </c>
      <c r="AH21">
        <v>105</v>
      </c>
      <c r="AI21">
        <v>203</v>
      </c>
      <c r="AJ21">
        <v>203</v>
      </c>
      <c r="AK21">
        <v>0</v>
      </c>
      <c r="AL21">
        <v>216</v>
      </c>
      <c r="AM21">
        <v>0</v>
      </c>
      <c r="AN21">
        <v>0</v>
      </c>
      <c r="AO21">
        <v>188</v>
      </c>
      <c r="AP21">
        <f t="shared" si="10"/>
        <v>0</v>
      </c>
      <c r="AQ21" s="17">
        <f t="shared" si="11"/>
        <v>0.92610837438423643</v>
      </c>
      <c r="AR21" s="18">
        <f>VLOOKUP($AH$8, 'Other Lists'!$B$13:$H$15, 7, FALSE)</f>
        <v>184</v>
      </c>
      <c r="AS21" s="18">
        <f>VLOOKUP($AH$8, 'Other Lists'!$B$13:$F$15, 5, FALSE)</f>
        <v>129</v>
      </c>
      <c r="AT21" s="18">
        <f>VLOOKUP($AH$8, 'Other Lists'!$B$13:$G$15, 6, FALSE)</f>
        <v>36</v>
      </c>
      <c r="AU21" s="18">
        <f t="shared" si="12"/>
        <v>165</v>
      </c>
      <c r="AV21" s="18">
        <f>VLOOKUP($AH$84, 'Other Lists'!$B$13:$H$15, 7, FALSE) *AO21</f>
        <v>34592</v>
      </c>
      <c r="AW21" s="18">
        <f t="shared" si="13"/>
        <v>33495</v>
      </c>
      <c r="AX21" s="18">
        <f t="shared" si="14"/>
        <v>1097</v>
      </c>
      <c r="AY21" s="18">
        <f t="shared" si="15"/>
        <v>2760</v>
      </c>
      <c r="AZ21">
        <v>8</v>
      </c>
      <c r="BA21">
        <v>8</v>
      </c>
      <c r="BB21">
        <v>0</v>
      </c>
      <c r="BC21">
        <v>3</v>
      </c>
      <c r="BD21">
        <f t="shared" si="16"/>
        <v>3</v>
      </c>
      <c r="BE21">
        <f>VLOOKUP($BE$6, 'Other Lists'!$B$27:$H$32, 7, FALSE) *BB21*8</f>
        <v>0</v>
      </c>
      <c r="BF21">
        <f>VLOOKUP($BF$6, 'Other Lists'!$B$27:$H$32, 7, FALSE) * BC21 * 8</f>
        <v>842.40000000000009</v>
      </c>
      <c r="BG21">
        <f>VLOOKUP($BG$6, 'Other Lists'!$B$27:$H$32, 7, FALSE) * BD21 * 8</f>
        <v>777.59999999999991</v>
      </c>
      <c r="BH21">
        <f t="shared" si="17"/>
        <v>1641.6</v>
      </c>
      <c r="BI21">
        <f t="shared" si="18"/>
        <v>8.086699507389163</v>
      </c>
      <c r="BK21">
        <v>2</v>
      </c>
      <c r="BL21">
        <v>2</v>
      </c>
      <c r="BM21">
        <f>VLOOKUP($BM$6, 'Other Lists'!$B$27:$H$32, 7, FALSE) * BK21 * 8</f>
        <v>648</v>
      </c>
      <c r="BN21">
        <f>VLOOKUP($BN$6, 'Other Lists'!$B$27:$H$32, 7, FALSE) * BL21 * 8</f>
        <v>648</v>
      </c>
      <c r="BO21">
        <f t="shared" si="19"/>
        <v>2937.6</v>
      </c>
    </row>
    <row r="22" spans="2:67">
      <c r="B22">
        <v>174</v>
      </c>
      <c r="C22" s="15">
        <v>45337</v>
      </c>
      <c r="D22">
        <f t="shared" si="0"/>
        <v>5</v>
      </c>
      <c r="E22">
        <v>1</v>
      </c>
      <c r="F22">
        <v>119</v>
      </c>
      <c r="G22">
        <v>1134</v>
      </c>
      <c r="H22">
        <v>1039</v>
      </c>
      <c r="I22">
        <v>0</v>
      </c>
      <c r="J22">
        <v>1049.9999999999998</v>
      </c>
      <c r="K22">
        <v>95</v>
      </c>
      <c r="L22">
        <v>0</v>
      </c>
      <c r="M22">
        <v>1018</v>
      </c>
      <c r="N22">
        <f t="shared" si="1"/>
        <v>95</v>
      </c>
      <c r="O22" s="17">
        <f t="shared" si="2"/>
        <v>0.9797882579403272</v>
      </c>
      <c r="P22" s="19">
        <f>VLOOKUP(F22, 'Other Lists'!$B$13:$H$154, 7, FALSE)</f>
        <v>32</v>
      </c>
      <c r="Q22" s="18">
        <f>VLOOKUP(F22, 'Other Lists'!$B$13:$F$15, 5, FALSE)</f>
        <v>17.8</v>
      </c>
      <c r="R22" s="18">
        <f>VLOOKUP(F22, 'Other Lists'!$B$13:$G$15, 6, FALSE)</f>
        <v>11</v>
      </c>
      <c r="S22" s="18">
        <f t="shared" si="3"/>
        <v>28.8</v>
      </c>
      <c r="T22">
        <f>VLOOKUP(F22, 'Other Lists'!$B$13:$H$15, 7, FALSE) * M22</f>
        <v>32576</v>
      </c>
      <c r="U22">
        <f t="shared" si="4"/>
        <v>29923.200000000001</v>
      </c>
      <c r="V22">
        <f t="shared" si="5"/>
        <v>2652.7999999999993</v>
      </c>
      <c r="W22">
        <f t="shared" si="6"/>
        <v>672</v>
      </c>
      <c r="X22">
        <v>6</v>
      </c>
      <c r="Y22">
        <v>0</v>
      </c>
      <c r="Z22">
        <v>3</v>
      </c>
      <c r="AA22">
        <f t="shared" si="7"/>
        <v>2</v>
      </c>
      <c r="AB22">
        <f>VLOOKUP($AB$6, 'Other Lists'!$B$27:$H$32, 7, FALSE) *Y22*8</f>
        <v>0</v>
      </c>
      <c r="AC22">
        <f>VLOOKUP($AC$6, 'Other Lists'!$B$27:$H$32, 7, FALSE) * Z22 * 8</f>
        <v>842.40000000000009</v>
      </c>
      <c r="AD22">
        <f>VLOOKUP($AD$6, 'Other Lists'!$B$27:$H$32, 7, FALSE) * AA22 * 8</f>
        <v>518.4</v>
      </c>
      <c r="AE22">
        <f t="shared" si="8"/>
        <v>1360.8000000000002</v>
      </c>
      <c r="AF22" s="18">
        <f t="shared" si="9"/>
        <v>1.3097208854667952</v>
      </c>
      <c r="AH22">
        <v>105</v>
      </c>
      <c r="AI22">
        <v>187</v>
      </c>
      <c r="AJ22">
        <v>187</v>
      </c>
      <c r="AK22">
        <v>0</v>
      </c>
      <c r="AL22">
        <v>216</v>
      </c>
      <c r="AM22">
        <v>0</v>
      </c>
      <c r="AN22">
        <v>0</v>
      </c>
      <c r="AO22">
        <v>181</v>
      </c>
      <c r="AP22">
        <f t="shared" si="10"/>
        <v>0</v>
      </c>
      <c r="AQ22" s="17">
        <f t="shared" si="11"/>
        <v>0.96791443850267378</v>
      </c>
      <c r="AR22" s="18">
        <f>VLOOKUP($AH$8, 'Other Lists'!$B$13:$H$15, 7, FALSE)</f>
        <v>184</v>
      </c>
      <c r="AS22" s="18">
        <f>VLOOKUP($AH$8, 'Other Lists'!$B$13:$F$15, 5, FALSE)</f>
        <v>129</v>
      </c>
      <c r="AT22" s="18">
        <f>VLOOKUP($AH$8, 'Other Lists'!$B$13:$G$15, 6, FALSE)</f>
        <v>36</v>
      </c>
      <c r="AU22" s="18">
        <f t="shared" si="12"/>
        <v>165</v>
      </c>
      <c r="AV22" s="18">
        <f>VLOOKUP($AH$84, 'Other Lists'!$B$13:$H$15, 7, FALSE) *AO22</f>
        <v>33304</v>
      </c>
      <c r="AW22" s="18">
        <f t="shared" si="13"/>
        <v>30855</v>
      </c>
      <c r="AX22" s="18">
        <f t="shared" si="14"/>
        <v>2449</v>
      </c>
      <c r="AY22" s="18">
        <f t="shared" si="15"/>
        <v>1104</v>
      </c>
      <c r="AZ22">
        <v>8</v>
      </c>
      <c r="BA22">
        <v>8</v>
      </c>
      <c r="BB22">
        <v>1</v>
      </c>
      <c r="BC22">
        <v>4</v>
      </c>
      <c r="BD22">
        <f t="shared" si="16"/>
        <v>1</v>
      </c>
      <c r="BE22">
        <f>VLOOKUP($BE$6, 'Other Lists'!$B$27:$H$32, 7, FALSE) *BB22*8</f>
        <v>194.4</v>
      </c>
      <c r="BF22">
        <f>VLOOKUP($BF$6, 'Other Lists'!$B$27:$H$32, 7, FALSE) * BC22 * 8</f>
        <v>1123.2</v>
      </c>
      <c r="BG22">
        <f>VLOOKUP($BG$6, 'Other Lists'!$B$27:$H$32, 7, FALSE) * BD22 * 8</f>
        <v>259.2</v>
      </c>
      <c r="BH22">
        <f t="shared" si="17"/>
        <v>1641.6</v>
      </c>
      <c r="BI22">
        <f t="shared" si="18"/>
        <v>8.778609625668448</v>
      </c>
      <c r="BK22">
        <v>2</v>
      </c>
      <c r="BL22">
        <v>2</v>
      </c>
      <c r="BM22">
        <f>VLOOKUP($BM$6, 'Other Lists'!$B$27:$H$32, 7, FALSE) * BK22 * 8</f>
        <v>648</v>
      </c>
      <c r="BN22">
        <f>VLOOKUP($BN$6, 'Other Lists'!$B$27:$H$32, 7, FALSE) * BL22 * 8</f>
        <v>648</v>
      </c>
      <c r="BO22">
        <f t="shared" si="19"/>
        <v>2937.6</v>
      </c>
    </row>
    <row r="23" spans="2:67">
      <c r="B23">
        <v>175</v>
      </c>
      <c r="C23" s="15">
        <v>45338</v>
      </c>
      <c r="D23">
        <f t="shared" si="0"/>
        <v>6</v>
      </c>
      <c r="E23">
        <v>1</v>
      </c>
      <c r="F23">
        <v>201</v>
      </c>
      <c r="G23">
        <v>336</v>
      </c>
      <c r="H23">
        <v>336</v>
      </c>
      <c r="I23">
        <v>0</v>
      </c>
      <c r="J23">
        <v>420</v>
      </c>
      <c r="K23">
        <v>0</v>
      </c>
      <c r="L23">
        <v>0</v>
      </c>
      <c r="M23">
        <v>315</v>
      </c>
      <c r="N23">
        <f t="shared" si="1"/>
        <v>0</v>
      </c>
      <c r="O23" s="17">
        <f t="shared" si="2"/>
        <v>0.9375</v>
      </c>
      <c r="P23" s="19">
        <f>VLOOKUP(F23, 'Other Lists'!$B$13:$H$154, 7, FALSE)</f>
        <v>71</v>
      </c>
      <c r="Q23" s="18">
        <f>VLOOKUP(F23, 'Other Lists'!$B$13:$F$15, 5, FALSE)</f>
        <v>32.6</v>
      </c>
      <c r="R23" s="18">
        <f>VLOOKUP(F23, 'Other Lists'!$B$13:$G$15, 6, FALSE)</f>
        <v>16.5</v>
      </c>
      <c r="S23" s="18">
        <f t="shared" si="3"/>
        <v>49.1</v>
      </c>
      <c r="T23">
        <f>VLOOKUP(F23, 'Other Lists'!$B$13:$H$15, 7, FALSE) * M23</f>
        <v>22365</v>
      </c>
      <c r="U23">
        <f t="shared" si="4"/>
        <v>16497.600000000002</v>
      </c>
      <c r="V23">
        <f t="shared" si="5"/>
        <v>5867.3999999999978</v>
      </c>
      <c r="W23">
        <f t="shared" si="6"/>
        <v>1491</v>
      </c>
      <c r="X23">
        <v>6</v>
      </c>
      <c r="Y23">
        <v>1</v>
      </c>
      <c r="Z23">
        <v>4</v>
      </c>
      <c r="AA23">
        <f t="shared" si="7"/>
        <v>0</v>
      </c>
      <c r="AB23">
        <f>VLOOKUP($AB$6, 'Other Lists'!$B$27:$H$32, 7, FALSE) *Y23*8</f>
        <v>194.4</v>
      </c>
      <c r="AC23">
        <f>VLOOKUP($AC$6, 'Other Lists'!$B$27:$H$32, 7, FALSE) * Z23 * 8</f>
        <v>1123.2</v>
      </c>
      <c r="AD23">
        <f>VLOOKUP($AD$6, 'Other Lists'!$B$27:$H$32, 7, FALSE) * AA23 * 8</f>
        <v>0</v>
      </c>
      <c r="AE23">
        <f t="shared" si="8"/>
        <v>1360.8000000000002</v>
      </c>
      <c r="AF23" s="18">
        <f t="shared" si="9"/>
        <v>4.0500000000000007</v>
      </c>
      <c r="AH23">
        <v>105</v>
      </c>
      <c r="AI23">
        <v>177</v>
      </c>
      <c r="AJ23">
        <v>177</v>
      </c>
      <c r="AK23">
        <v>0</v>
      </c>
      <c r="AL23">
        <v>216</v>
      </c>
      <c r="AM23">
        <v>0</v>
      </c>
      <c r="AN23">
        <v>0</v>
      </c>
      <c r="AO23">
        <v>171</v>
      </c>
      <c r="AP23">
        <f t="shared" si="10"/>
        <v>0</v>
      </c>
      <c r="AQ23" s="17">
        <f t="shared" si="11"/>
        <v>0.96610169491525422</v>
      </c>
      <c r="AR23" s="18">
        <f>VLOOKUP($AH$8, 'Other Lists'!$B$13:$H$15, 7, FALSE)</f>
        <v>184</v>
      </c>
      <c r="AS23" s="18">
        <f>VLOOKUP($AH$8, 'Other Lists'!$B$13:$F$15, 5, FALSE)</f>
        <v>129</v>
      </c>
      <c r="AT23" s="18">
        <f>VLOOKUP($AH$8, 'Other Lists'!$B$13:$G$15, 6, FALSE)</f>
        <v>36</v>
      </c>
      <c r="AU23" s="18">
        <f t="shared" si="12"/>
        <v>165</v>
      </c>
      <c r="AV23" s="18">
        <f>VLOOKUP($AH$84, 'Other Lists'!$B$13:$H$15, 7, FALSE) *AO23</f>
        <v>31464</v>
      </c>
      <c r="AW23" s="18">
        <f t="shared" si="13"/>
        <v>29205</v>
      </c>
      <c r="AX23" s="18">
        <f t="shared" si="14"/>
        <v>2259</v>
      </c>
      <c r="AY23" s="18">
        <f t="shared" si="15"/>
        <v>1104</v>
      </c>
      <c r="AZ23">
        <v>8</v>
      </c>
      <c r="BA23">
        <v>8</v>
      </c>
      <c r="BB23">
        <v>0</v>
      </c>
      <c r="BC23">
        <v>4</v>
      </c>
      <c r="BD23">
        <f t="shared" si="16"/>
        <v>2</v>
      </c>
      <c r="BE23">
        <f>VLOOKUP($BE$6, 'Other Lists'!$B$27:$H$32, 7, FALSE) *BB23*8</f>
        <v>0</v>
      </c>
      <c r="BF23">
        <f>VLOOKUP($BF$6, 'Other Lists'!$B$27:$H$32, 7, FALSE) * BC23 * 8</f>
        <v>1123.2</v>
      </c>
      <c r="BG23">
        <f>VLOOKUP($BG$6, 'Other Lists'!$B$27:$H$32, 7, FALSE) * BD23 * 8</f>
        <v>518.4</v>
      </c>
      <c r="BH23">
        <f t="shared" si="17"/>
        <v>1641.6</v>
      </c>
      <c r="BI23">
        <f t="shared" si="18"/>
        <v>9.2745762711864401</v>
      </c>
      <c r="BK23">
        <v>2</v>
      </c>
      <c r="BL23">
        <v>2</v>
      </c>
      <c r="BM23">
        <f>VLOOKUP($BM$6, 'Other Lists'!$B$27:$H$32, 7, FALSE) * BK23 * 8</f>
        <v>648</v>
      </c>
      <c r="BN23">
        <f>VLOOKUP($BN$6, 'Other Lists'!$B$27:$H$32, 7, FALSE) * BL23 * 8</f>
        <v>648</v>
      </c>
      <c r="BO23">
        <f t="shared" si="19"/>
        <v>2937.6</v>
      </c>
    </row>
    <row r="24" spans="2:67">
      <c r="B24">
        <v>176</v>
      </c>
      <c r="C24" s="15">
        <v>45339</v>
      </c>
      <c r="D24">
        <f t="shared" si="0"/>
        <v>7</v>
      </c>
      <c r="E24">
        <v>1</v>
      </c>
      <c r="F24">
        <v>201</v>
      </c>
      <c r="G24">
        <v>361</v>
      </c>
      <c r="H24">
        <v>361</v>
      </c>
      <c r="I24">
        <v>0</v>
      </c>
      <c r="J24">
        <v>420</v>
      </c>
      <c r="K24">
        <v>0</v>
      </c>
      <c r="L24">
        <v>0</v>
      </c>
      <c r="M24">
        <v>339</v>
      </c>
      <c r="N24">
        <f t="shared" si="1"/>
        <v>0</v>
      </c>
      <c r="O24" s="17">
        <f t="shared" si="2"/>
        <v>0.93905817174515238</v>
      </c>
      <c r="P24" s="19">
        <f>VLOOKUP(F24, 'Other Lists'!$B$13:$H$154, 7, FALSE)</f>
        <v>71</v>
      </c>
      <c r="Q24" s="18">
        <f>VLOOKUP(F24, 'Other Lists'!$B$13:$F$15, 5, FALSE)</f>
        <v>32.6</v>
      </c>
      <c r="R24" s="18">
        <f>VLOOKUP(F24, 'Other Lists'!$B$13:$G$15, 6, FALSE)</f>
        <v>16.5</v>
      </c>
      <c r="S24" s="18">
        <f t="shared" si="3"/>
        <v>49.1</v>
      </c>
      <c r="T24">
        <f>VLOOKUP(F24, 'Other Lists'!$B$13:$H$15, 7, FALSE) * M24</f>
        <v>24069</v>
      </c>
      <c r="U24">
        <f t="shared" si="4"/>
        <v>17725.100000000002</v>
      </c>
      <c r="V24">
        <f t="shared" si="5"/>
        <v>6343.8999999999978</v>
      </c>
      <c r="W24">
        <f t="shared" si="6"/>
        <v>1562</v>
      </c>
      <c r="X24">
        <v>6</v>
      </c>
      <c r="Y24">
        <v>0</v>
      </c>
      <c r="Z24">
        <v>3</v>
      </c>
      <c r="AA24">
        <f t="shared" si="7"/>
        <v>2</v>
      </c>
      <c r="AB24">
        <f>VLOOKUP($AB$6, 'Other Lists'!$B$27:$H$32, 7, FALSE) *Y24*8</f>
        <v>0</v>
      </c>
      <c r="AC24">
        <f>VLOOKUP($AC$6, 'Other Lists'!$B$27:$H$32, 7, FALSE) * Z24 * 8</f>
        <v>842.40000000000009</v>
      </c>
      <c r="AD24">
        <f>VLOOKUP($AD$6, 'Other Lists'!$B$27:$H$32, 7, FALSE) * AA24 * 8</f>
        <v>518.4</v>
      </c>
      <c r="AE24">
        <f t="shared" si="8"/>
        <v>1360.8000000000002</v>
      </c>
      <c r="AF24" s="18">
        <f t="shared" si="9"/>
        <v>3.7695290858725765</v>
      </c>
      <c r="AH24">
        <v>105</v>
      </c>
      <c r="AI24">
        <v>250</v>
      </c>
      <c r="AJ24">
        <v>207</v>
      </c>
      <c r="AK24">
        <v>0</v>
      </c>
      <c r="AL24">
        <v>216</v>
      </c>
      <c r="AM24">
        <v>43</v>
      </c>
      <c r="AN24">
        <v>0</v>
      </c>
      <c r="AO24">
        <v>194</v>
      </c>
      <c r="AP24">
        <f t="shared" si="10"/>
        <v>43</v>
      </c>
      <c r="AQ24" s="17">
        <f t="shared" si="11"/>
        <v>0.9371980676328503</v>
      </c>
      <c r="AR24" s="18">
        <f>VLOOKUP($AH$8, 'Other Lists'!$B$13:$H$15, 7, FALSE)</f>
        <v>184</v>
      </c>
      <c r="AS24" s="18">
        <f>VLOOKUP($AH$8, 'Other Lists'!$B$13:$F$15, 5, FALSE)</f>
        <v>129</v>
      </c>
      <c r="AT24" s="18">
        <f>VLOOKUP($AH$8, 'Other Lists'!$B$13:$G$15, 6, FALSE)</f>
        <v>36</v>
      </c>
      <c r="AU24" s="18">
        <f t="shared" si="12"/>
        <v>165</v>
      </c>
      <c r="AV24" s="18">
        <f>VLOOKUP($AH$84, 'Other Lists'!$B$13:$H$15, 7, FALSE) *AO24</f>
        <v>35696</v>
      </c>
      <c r="AW24" s="18">
        <f t="shared" si="13"/>
        <v>34155</v>
      </c>
      <c r="AX24" s="18">
        <f t="shared" si="14"/>
        <v>1541</v>
      </c>
      <c r="AY24" s="18">
        <f t="shared" si="15"/>
        <v>2392</v>
      </c>
      <c r="AZ24">
        <v>8</v>
      </c>
      <c r="BA24">
        <v>8</v>
      </c>
      <c r="BB24">
        <v>0</v>
      </c>
      <c r="BC24">
        <v>3</v>
      </c>
      <c r="BD24">
        <f t="shared" si="16"/>
        <v>3</v>
      </c>
      <c r="BE24">
        <f>VLOOKUP($BE$6, 'Other Lists'!$B$27:$H$32, 7, FALSE) *BB24*8</f>
        <v>0</v>
      </c>
      <c r="BF24">
        <f>VLOOKUP($BF$6, 'Other Lists'!$B$27:$H$32, 7, FALSE) * BC24 * 8</f>
        <v>842.40000000000009</v>
      </c>
      <c r="BG24">
        <f>VLOOKUP($BG$6, 'Other Lists'!$B$27:$H$32, 7, FALSE) * BD24 * 8</f>
        <v>777.59999999999991</v>
      </c>
      <c r="BH24">
        <f t="shared" si="17"/>
        <v>1641.6</v>
      </c>
      <c r="BI24">
        <f t="shared" si="18"/>
        <v>7.9304347826086952</v>
      </c>
      <c r="BK24">
        <v>2</v>
      </c>
      <c r="BL24">
        <v>2</v>
      </c>
      <c r="BM24">
        <f>VLOOKUP($BM$6, 'Other Lists'!$B$27:$H$32, 7, FALSE) * BK24 * 8</f>
        <v>648</v>
      </c>
      <c r="BN24">
        <f>VLOOKUP($BN$6, 'Other Lists'!$B$27:$H$32, 7, FALSE) * BL24 * 8</f>
        <v>648</v>
      </c>
      <c r="BO24">
        <f t="shared" si="19"/>
        <v>2937.6</v>
      </c>
    </row>
    <row r="25" spans="2:67">
      <c r="B25">
        <v>177</v>
      </c>
      <c r="C25" s="15">
        <v>45340</v>
      </c>
      <c r="D25">
        <f t="shared" si="0"/>
        <v>1</v>
      </c>
      <c r="E25">
        <v>1</v>
      </c>
      <c r="F25">
        <v>201</v>
      </c>
      <c r="G25">
        <v>249</v>
      </c>
      <c r="H25">
        <v>207</v>
      </c>
      <c r="I25">
        <v>0</v>
      </c>
      <c r="J25">
        <v>210</v>
      </c>
      <c r="K25">
        <v>42</v>
      </c>
      <c r="L25">
        <v>0</v>
      </c>
      <c r="M25">
        <v>194</v>
      </c>
      <c r="N25">
        <f t="shared" si="1"/>
        <v>42</v>
      </c>
      <c r="O25" s="17">
        <f t="shared" si="2"/>
        <v>0.9371980676328503</v>
      </c>
      <c r="P25" s="19">
        <f>VLOOKUP(F25, 'Other Lists'!$B$13:$H$154, 7, FALSE)</f>
        <v>71</v>
      </c>
      <c r="Q25" s="18">
        <f>VLOOKUP(F25, 'Other Lists'!$B$13:$F$15, 5, FALSE)</f>
        <v>32.6</v>
      </c>
      <c r="R25" s="18">
        <f>VLOOKUP(F25, 'Other Lists'!$B$13:$G$15, 6, FALSE)</f>
        <v>16.5</v>
      </c>
      <c r="S25" s="18">
        <f t="shared" si="3"/>
        <v>49.1</v>
      </c>
      <c r="T25">
        <f>VLOOKUP(F25, 'Other Lists'!$B$13:$H$15, 7, FALSE) * M25</f>
        <v>13774</v>
      </c>
      <c r="U25">
        <f t="shared" si="4"/>
        <v>10163.700000000001</v>
      </c>
      <c r="V25">
        <f t="shared" si="5"/>
        <v>3610.2999999999993</v>
      </c>
      <c r="W25">
        <f t="shared" si="6"/>
        <v>923</v>
      </c>
      <c r="X25">
        <v>3</v>
      </c>
      <c r="Y25">
        <v>0</v>
      </c>
      <c r="Z25">
        <v>2</v>
      </c>
      <c r="AA25">
        <f t="shared" si="7"/>
        <v>0</v>
      </c>
      <c r="AB25">
        <f>VLOOKUP($AB$6, 'Other Lists'!$B$27:$H$32, 7, FALSE) *Y25*8</f>
        <v>0</v>
      </c>
      <c r="AC25">
        <f>VLOOKUP($AC$6, 'Other Lists'!$B$27:$H$32, 7, FALSE) * Z25 * 8</f>
        <v>561.6</v>
      </c>
      <c r="AD25">
        <f>VLOOKUP($AD$6, 'Other Lists'!$B$27:$H$32, 7, FALSE) * AA25 * 8</f>
        <v>0</v>
      </c>
      <c r="AE25">
        <f t="shared" si="8"/>
        <v>1360.8000000000002</v>
      </c>
      <c r="AF25" s="18">
        <f t="shared" si="9"/>
        <v>6.573913043478262</v>
      </c>
      <c r="AH25">
        <v>105</v>
      </c>
      <c r="AI25">
        <v>124</v>
      </c>
      <c r="AJ25">
        <v>108</v>
      </c>
      <c r="AK25">
        <v>0</v>
      </c>
      <c r="AL25">
        <v>108</v>
      </c>
      <c r="AM25">
        <v>16</v>
      </c>
      <c r="AN25">
        <v>0</v>
      </c>
      <c r="AO25">
        <v>103</v>
      </c>
      <c r="AP25">
        <f t="shared" si="10"/>
        <v>16</v>
      </c>
      <c r="AQ25" s="17">
        <f t="shared" si="11"/>
        <v>0.95370370370370372</v>
      </c>
      <c r="AR25" s="18">
        <f>VLOOKUP($AH$8, 'Other Lists'!$B$13:$H$15, 7, FALSE)</f>
        <v>184</v>
      </c>
      <c r="AS25" s="18">
        <f>VLOOKUP($AH$8, 'Other Lists'!$B$13:$F$15, 5, FALSE)</f>
        <v>129</v>
      </c>
      <c r="AT25" s="18">
        <f>VLOOKUP($AH$8, 'Other Lists'!$B$13:$G$15, 6, FALSE)</f>
        <v>36</v>
      </c>
      <c r="AU25" s="18">
        <f t="shared" si="12"/>
        <v>165</v>
      </c>
      <c r="AV25" s="18">
        <f>VLOOKUP($AH$84, 'Other Lists'!$B$13:$H$15, 7, FALSE) *AO25</f>
        <v>18952</v>
      </c>
      <c r="AW25" s="18">
        <f t="shared" si="13"/>
        <v>17820</v>
      </c>
      <c r="AX25" s="18">
        <f t="shared" si="14"/>
        <v>1132</v>
      </c>
      <c r="AY25" s="18">
        <f t="shared" si="15"/>
        <v>920</v>
      </c>
      <c r="AZ25">
        <v>4</v>
      </c>
      <c r="BA25">
        <v>4</v>
      </c>
      <c r="BB25">
        <v>0</v>
      </c>
      <c r="BC25">
        <v>2</v>
      </c>
      <c r="BD25">
        <f t="shared" si="16"/>
        <v>1</v>
      </c>
      <c r="BE25">
        <f>VLOOKUP($BE$6, 'Other Lists'!$B$27:$H$32, 7, FALSE) *BB25*8</f>
        <v>0</v>
      </c>
      <c r="BF25">
        <f>VLOOKUP($BF$6, 'Other Lists'!$B$27:$H$32, 7, FALSE) * BC25 * 8</f>
        <v>561.6</v>
      </c>
      <c r="BG25">
        <f>VLOOKUP($BG$6, 'Other Lists'!$B$27:$H$32, 7, FALSE) * BD25 * 8</f>
        <v>259.2</v>
      </c>
      <c r="BH25">
        <f t="shared" si="17"/>
        <v>1641.6</v>
      </c>
      <c r="BI25">
        <f t="shared" si="18"/>
        <v>15.2</v>
      </c>
      <c r="BK25">
        <v>1</v>
      </c>
      <c r="BL25">
        <v>1</v>
      </c>
      <c r="BM25">
        <f>VLOOKUP($BM$6, 'Other Lists'!$B$27:$H$32, 7, FALSE) * BK25 * 8</f>
        <v>324</v>
      </c>
      <c r="BN25">
        <f>VLOOKUP($BN$6, 'Other Lists'!$B$27:$H$32, 7, FALSE) * BL25 * 8</f>
        <v>324</v>
      </c>
      <c r="BO25">
        <f t="shared" si="19"/>
        <v>2289.6</v>
      </c>
    </row>
    <row r="26" spans="2:67">
      <c r="B26">
        <v>178</v>
      </c>
      <c r="C26" s="15">
        <v>45341</v>
      </c>
      <c r="D26">
        <f t="shared" si="0"/>
        <v>2</v>
      </c>
      <c r="E26">
        <v>1</v>
      </c>
      <c r="F26">
        <v>201</v>
      </c>
      <c r="G26">
        <v>186</v>
      </c>
      <c r="H26">
        <v>186</v>
      </c>
      <c r="I26">
        <v>0</v>
      </c>
      <c r="J26">
        <v>210</v>
      </c>
      <c r="K26">
        <v>0</v>
      </c>
      <c r="L26">
        <v>0</v>
      </c>
      <c r="M26">
        <v>180</v>
      </c>
      <c r="N26">
        <f t="shared" si="1"/>
        <v>0</v>
      </c>
      <c r="O26" s="17">
        <f t="shared" si="2"/>
        <v>0.967741935483871</v>
      </c>
      <c r="P26" s="19">
        <f>VLOOKUP(F26, 'Other Lists'!$B$13:$H$154, 7, FALSE)</f>
        <v>71</v>
      </c>
      <c r="Q26" s="18">
        <f>VLOOKUP(F26, 'Other Lists'!$B$13:$F$15, 5, FALSE)</f>
        <v>32.6</v>
      </c>
      <c r="R26" s="18">
        <f>VLOOKUP(F26, 'Other Lists'!$B$13:$G$15, 6, FALSE)</f>
        <v>16.5</v>
      </c>
      <c r="S26" s="18">
        <f t="shared" si="3"/>
        <v>49.1</v>
      </c>
      <c r="T26">
        <f>VLOOKUP(F26, 'Other Lists'!$B$13:$H$15, 7, FALSE) * M26</f>
        <v>12780</v>
      </c>
      <c r="U26">
        <f t="shared" si="4"/>
        <v>9132.6</v>
      </c>
      <c r="V26">
        <f t="shared" si="5"/>
        <v>3647.3999999999996</v>
      </c>
      <c r="W26">
        <f t="shared" si="6"/>
        <v>426</v>
      </c>
      <c r="X26">
        <v>3</v>
      </c>
      <c r="Y26">
        <v>0</v>
      </c>
      <c r="Z26">
        <v>2</v>
      </c>
      <c r="AA26">
        <f t="shared" si="7"/>
        <v>0</v>
      </c>
      <c r="AB26">
        <f>VLOOKUP($AB$6, 'Other Lists'!$B$27:$H$32, 7, FALSE) *Y26*8</f>
        <v>0</v>
      </c>
      <c r="AC26">
        <f>VLOOKUP($AC$6, 'Other Lists'!$B$27:$H$32, 7, FALSE) * Z26 * 8</f>
        <v>561.6</v>
      </c>
      <c r="AD26">
        <f>VLOOKUP($AD$6, 'Other Lists'!$B$27:$H$32, 7, FALSE) * AA26 * 8</f>
        <v>0</v>
      </c>
      <c r="AE26">
        <f t="shared" si="8"/>
        <v>1360.8000000000002</v>
      </c>
      <c r="AF26" s="18">
        <f t="shared" si="9"/>
        <v>7.3161290322580657</v>
      </c>
      <c r="AH26">
        <v>105</v>
      </c>
      <c r="AI26">
        <v>112</v>
      </c>
      <c r="AJ26">
        <v>109</v>
      </c>
      <c r="AK26">
        <v>0</v>
      </c>
      <c r="AL26">
        <v>108</v>
      </c>
      <c r="AM26">
        <v>3</v>
      </c>
      <c r="AN26">
        <v>0</v>
      </c>
      <c r="AO26">
        <v>101</v>
      </c>
      <c r="AP26">
        <f t="shared" si="10"/>
        <v>3</v>
      </c>
      <c r="AQ26" s="17">
        <f t="shared" si="11"/>
        <v>0.92660550458715596</v>
      </c>
      <c r="AR26" s="18">
        <f>VLOOKUP($AH$8, 'Other Lists'!$B$13:$H$15, 7, FALSE)</f>
        <v>184</v>
      </c>
      <c r="AS26" s="18">
        <f>VLOOKUP($AH$8, 'Other Lists'!$B$13:$F$15, 5, FALSE)</f>
        <v>129</v>
      </c>
      <c r="AT26" s="18">
        <f>VLOOKUP($AH$8, 'Other Lists'!$B$13:$G$15, 6, FALSE)</f>
        <v>36</v>
      </c>
      <c r="AU26" s="18">
        <f t="shared" si="12"/>
        <v>165</v>
      </c>
      <c r="AV26" s="18">
        <f>VLOOKUP($AH$84, 'Other Lists'!$B$13:$H$15, 7, FALSE) *AO26</f>
        <v>18584</v>
      </c>
      <c r="AW26" s="18">
        <f t="shared" si="13"/>
        <v>17985</v>
      </c>
      <c r="AX26" s="18">
        <f t="shared" si="14"/>
        <v>599</v>
      </c>
      <c r="AY26" s="18">
        <f t="shared" si="15"/>
        <v>1472</v>
      </c>
      <c r="AZ26">
        <v>4</v>
      </c>
      <c r="BA26">
        <v>4</v>
      </c>
      <c r="BB26">
        <v>0</v>
      </c>
      <c r="BC26">
        <v>2</v>
      </c>
      <c r="BD26">
        <f t="shared" si="16"/>
        <v>1</v>
      </c>
      <c r="BE26">
        <f>VLOOKUP($BE$6, 'Other Lists'!$B$27:$H$32, 7, FALSE) *BB26*8</f>
        <v>0</v>
      </c>
      <c r="BF26">
        <f>VLOOKUP($BF$6, 'Other Lists'!$B$27:$H$32, 7, FALSE) * BC26 * 8</f>
        <v>561.6</v>
      </c>
      <c r="BG26">
        <f>VLOOKUP($BG$6, 'Other Lists'!$B$27:$H$32, 7, FALSE) * BD26 * 8</f>
        <v>259.2</v>
      </c>
      <c r="BH26">
        <f t="shared" si="17"/>
        <v>1641.6</v>
      </c>
      <c r="BI26">
        <f t="shared" si="18"/>
        <v>15.060550458715596</v>
      </c>
      <c r="BK26">
        <v>1</v>
      </c>
      <c r="BL26">
        <v>1</v>
      </c>
      <c r="BM26">
        <f>VLOOKUP($BM$6, 'Other Lists'!$B$27:$H$32, 7, FALSE) * BK26 * 8</f>
        <v>324</v>
      </c>
      <c r="BN26">
        <f>VLOOKUP($BN$6, 'Other Lists'!$B$27:$H$32, 7, FALSE) * BL26 * 8</f>
        <v>324</v>
      </c>
      <c r="BO26">
        <f t="shared" si="19"/>
        <v>2289.6</v>
      </c>
    </row>
    <row r="27" spans="2:67">
      <c r="B27">
        <v>179</v>
      </c>
      <c r="C27" s="15">
        <v>45342</v>
      </c>
      <c r="D27">
        <f t="shared" si="0"/>
        <v>3</v>
      </c>
      <c r="E27">
        <v>1</v>
      </c>
      <c r="F27">
        <v>201</v>
      </c>
      <c r="G27">
        <v>504</v>
      </c>
      <c r="H27">
        <v>339</v>
      </c>
      <c r="I27">
        <v>0</v>
      </c>
      <c r="J27">
        <v>420</v>
      </c>
      <c r="K27">
        <v>165</v>
      </c>
      <c r="L27">
        <v>0</v>
      </c>
      <c r="M27">
        <v>318</v>
      </c>
      <c r="N27">
        <f t="shared" si="1"/>
        <v>165</v>
      </c>
      <c r="O27" s="17">
        <f t="shared" si="2"/>
        <v>0.93805309734513276</v>
      </c>
      <c r="P27" s="19">
        <f>VLOOKUP(F27, 'Other Lists'!$B$13:$H$154, 7, FALSE)</f>
        <v>71</v>
      </c>
      <c r="Q27" s="18">
        <f>VLOOKUP(F27, 'Other Lists'!$B$13:$F$15, 5, FALSE)</f>
        <v>32.6</v>
      </c>
      <c r="R27" s="18">
        <f>VLOOKUP(F27, 'Other Lists'!$B$13:$G$15, 6, FALSE)</f>
        <v>16.5</v>
      </c>
      <c r="S27" s="18">
        <f t="shared" si="3"/>
        <v>49.1</v>
      </c>
      <c r="T27">
        <f>VLOOKUP(F27, 'Other Lists'!$B$13:$H$15, 7, FALSE) * M27</f>
        <v>22578</v>
      </c>
      <c r="U27">
        <f t="shared" si="4"/>
        <v>16644.900000000001</v>
      </c>
      <c r="V27">
        <f t="shared" si="5"/>
        <v>5933.0999999999985</v>
      </c>
      <c r="W27">
        <f t="shared" si="6"/>
        <v>1491</v>
      </c>
      <c r="X27">
        <v>5</v>
      </c>
      <c r="Y27">
        <v>0</v>
      </c>
      <c r="Z27">
        <v>4</v>
      </c>
      <c r="AA27">
        <f t="shared" si="7"/>
        <v>0</v>
      </c>
      <c r="AB27">
        <f>VLOOKUP($AB$6, 'Other Lists'!$B$27:$H$32, 7, FALSE) *Y27*8</f>
        <v>0</v>
      </c>
      <c r="AC27">
        <f>VLOOKUP($AC$6, 'Other Lists'!$B$27:$H$32, 7, FALSE) * Z27 * 8</f>
        <v>1123.2</v>
      </c>
      <c r="AD27">
        <f>VLOOKUP($AD$6, 'Other Lists'!$B$27:$H$32, 7, FALSE) * AA27 * 8</f>
        <v>0</v>
      </c>
      <c r="AE27">
        <f t="shared" si="8"/>
        <v>1360.8000000000002</v>
      </c>
      <c r="AF27" s="18">
        <f t="shared" si="9"/>
        <v>4.0141592920353988</v>
      </c>
      <c r="AH27">
        <v>105</v>
      </c>
      <c r="AI27">
        <v>222</v>
      </c>
      <c r="AJ27">
        <v>179</v>
      </c>
      <c r="AK27">
        <v>0</v>
      </c>
      <c r="AL27">
        <v>216</v>
      </c>
      <c r="AM27">
        <v>43</v>
      </c>
      <c r="AN27">
        <v>0</v>
      </c>
      <c r="AO27">
        <v>168</v>
      </c>
      <c r="AP27">
        <f t="shared" si="10"/>
        <v>43</v>
      </c>
      <c r="AQ27" s="17">
        <f t="shared" si="11"/>
        <v>0.93854748603351956</v>
      </c>
      <c r="AR27" s="18">
        <f>VLOOKUP($AH$8, 'Other Lists'!$B$13:$H$15, 7, FALSE)</f>
        <v>184</v>
      </c>
      <c r="AS27" s="18">
        <f>VLOOKUP($AH$8, 'Other Lists'!$B$13:$F$15, 5, FALSE)</f>
        <v>129</v>
      </c>
      <c r="AT27" s="18">
        <f>VLOOKUP($AH$8, 'Other Lists'!$B$13:$G$15, 6, FALSE)</f>
        <v>36</v>
      </c>
      <c r="AU27" s="18">
        <f t="shared" si="12"/>
        <v>165</v>
      </c>
      <c r="AV27" s="18">
        <f>VLOOKUP($AH$84, 'Other Lists'!$B$13:$H$15, 7, FALSE) *AO27</f>
        <v>30912</v>
      </c>
      <c r="AW27" s="18">
        <f t="shared" si="13"/>
        <v>29535</v>
      </c>
      <c r="AX27" s="18">
        <f t="shared" si="14"/>
        <v>1377</v>
      </c>
      <c r="AY27" s="18">
        <f t="shared" si="15"/>
        <v>2024</v>
      </c>
      <c r="AZ27">
        <v>8</v>
      </c>
      <c r="BA27">
        <v>7</v>
      </c>
      <c r="BB27">
        <v>0</v>
      </c>
      <c r="BC27">
        <v>4</v>
      </c>
      <c r="BD27">
        <f t="shared" si="16"/>
        <v>1</v>
      </c>
      <c r="BE27">
        <f>VLOOKUP($BE$6, 'Other Lists'!$B$27:$H$32, 7, FALSE) *BB27*8</f>
        <v>0</v>
      </c>
      <c r="BF27">
        <f>VLOOKUP($BF$6, 'Other Lists'!$B$27:$H$32, 7, FALSE) * BC27 * 8</f>
        <v>1123.2</v>
      </c>
      <c r="BG27">
        <f>VLOOKUP($BG$6, 'Other Lists'!$B$27:$H$32, 7, FALSE) * BD27 * 8</f>
        <v>259.2</v>
      </c>
      <c r="BH27">
        <f t="shared" si="17"/>
        <v>1641.6</v>
      </c>
      <c r="BI27">
        <f t="shared" si="18"/>
        <v>9.1709497206703912</v>
      </c>
      <c r="BK27">
        <v>2</v>
      </c>
      <c r="BL27">
        <v>2</v>
      </c>
      <c r="BM27">
        <f>VLOOKUP($BM$6, 'Other Lists'!$B$27:$H$32, 7, FALSE) * BK27 * 8</f>
        <v>648</v>
      </c>
      <c r="BN27">
        <f>VLOOKUP($BN$6, 'Other Lists'!$B$27:$H$32, 7, FALSE) * BL27 * 8</f>
        <v>648</v>
      </c>
      <c r="BO27">
        <f t="shared" si="19"/>
        <v>2937.6</v>
      </c>
    </row>
    <row r="28" spans="2:67">
      <c r="B28">
        <v>180</v>
      </c>
      <c r="C28" s="15">
        <v>45343</v>
      </c>
      <c r="D28">
        <f t="shared" si="0"/>
        <v>4</v>
      </c>
      <c r="E28">
        <v>1</v>
      </c>
      <c r="F28">
        <v>119</v>
      </c>
      <c r="G28">
        <v>924</v>
      </c>
      <c r="H28">
        <v>924</v>
      </c>
      <c r="I28">
        <v>0</v>
      </c>
      <c r="J28">
        <v>1049.9999999999998</v>
      </c>
      <c r="K28">
        <v>0</v>
      </c>
      <c r="L28">
        <v>0</v>
      </c>
      <c r="M28">
        <v>859</v>
      </c>
      <c r="N28">
        <f t="shared" si="1"/>
        <v>0</v>
      </c>
      <c r="O28" s="17">
        <f t="shared" si="2"/>
        <v>0.92965367965367962</v>
      </c>
      <c r="P28" s="19">
        <f>VLOOKUP(F28, 'Other Lists'!$B$13:$H$154, 7, FALSE)</f>
        <v>32</v>
      </c>
      <c r="Q28" s="18">
        <f>VLOOKUP(F28, 'Other Lists'!$B$13:$F$15, 5, FALSE)</f>
        <v>17.8</v>
      </c>
      <c r="R28" s="18">
        <f>VLOOKUP(F28, 'Other Lists'!$B$13:$G$15, 6, FALSE)</f>
        <v>11</v>
      </c>
      <c r="S28" s="18">
        <f t="shared" si="3"/>
        <v>28.8</v>
      </c>
      <c r="T28">
        <f>VLOOKUP(F28, 'Other Lists'!$B$13:$H$15, 7, FALSE) * M28</f>
        <v>27488</v>
      </c>
      <c r="U28">
        <f t="shared" si="4"/>
        <v>26611.200000000001</v>
      </c>
      <c r="V28">
        <f t="shared" si="5"/>
        <v>876.79999999999927</v>
      </c>
      <c r="W28">
        <f t="shared" si="6"/>
        <v>2080</v>
      </c>
      <c r="X28">
        <v>6</v>
      </c>
      <c r="Y28">
        <v>0</v>
      </c>
      <c r="Z28">
        <v>3</v>
      </c>
      <c r="AA28">
        <f t="shared" si="7"/>
        <v>2</v>
      </c>
      <c r="AB28">
        <f>VLOOKUP($AB$6, 'Other Lists'!$B$27:$H$32, 7, FALSE) *Y28*8</f>
        <v>0</v>
      </c>
      <c r="AC28">
        <f>VLOOKUP($AC$6, 'Other Lists'!$B$27:$H$32, 7, FALSE) * Z28 * 8</f>
        <v>842.40000000000009</v>
      </c>
      <c r="AD28">
        <f>VLOOKUP($AD$6, 'Other Lists'!$B$27:$H$32, 7, FALSE) * AA28 * 8</f>
        <v>518.4</v>
      </c>
      <c r="AE28">
        <f t="shared" si="8"/>
        <v>1360.8000000000002</v>
      </c>
      <c r="AF28" s="18">
        <f t="shared" si="9"/>
        <v>1.4727272727272729</v>
      </c>
      <c r="AH28">
        <v>105</v>
      </c>
      <c r="AI28">
        <v>226</v>
      </c>
      <c r="AJ28">
        <v>224</v>
      </c>
      <c r="AK28">
        <v>0</v>
      </c>
      <c r="AL28">
        <v>216</v>
      </c>
      <c r="AM28">
        <v>2</v>
      </c>
      <c r="AN28">
        <v>0</v>
      </c>
      <c r="AO28">
        <v>217</v>
      </c>
      <c r="AP28">
        <f t="shared" si="10"/>
        <v>2</v>
      </c>
      <c r="AQ28" s="17">
        <f t="shared" si="11"/>
        <v>0.96875</v>
      </c>
      <c r="AR28" s="18">
        <f>VLOOKUP($AH$8, 'Other Lists'!$B$13:$H$15, 7, FALSE)</f>
        <v>184</v>
      </c>
      <c r="AS28" s="18">
        <f>VLOOKUP($AH$8, 'Other Lists'!$B$13:$F$15, 5, FALSE)</f>
        <v>129</v>
      </c>
      <c r="AT28" s="18">
        <f>VLOOKUP($AH$8, 'Other Lists'!$B$13:$G$15, 6, FALSE)</f>
        <v>36</v>
      </c>
      <c r="AU28" s="18">
        <f t="shared" si="12"/>
        <v>165</v>
      </c>
      <c r="AV28" s="18">
        <f>VLOOKUP($AH$84, 'Other Lists'!$B$13:$H$15, 7, FALSE) *AO28</f>
        <v>39928</v>
      </c>
      <c r="AW28" s="18">
        <f t="shared" si="13"/>
        <v>36960</v>
      </c>
      <c r="AX28" s="18">
        <f t="shared" si="14"/>
        <v>2968</v>
      </c>
      <c r="AY28" s="18">
        <f t="shared" si="15"/>
        <v>1288</v>
      </c>
      <c r="AZ28">
        <v>8</v>
      </c>
      <c r="BA28">
        <v>8</v>
      </c>
      <c r="BB28">
        <v>0</v>
      </c>
      <c r="BC28">
        <v>3</v>
      </c>
      <c r="BD28">
        <f t="shared" si="16"/>
        <v>3</v>
      </c>
      <c r="BE28">
        <f>VLOOKUP($BE$6, 'Other Lists'!$B$27:$H$32, 7, FALSE) *BB28*8</f>
        <v>0</v>
      </c>
      <c r="BF28">
        <f>VLOOKUP($BF$6, 'Other Lists'!$B$27:$H$32, 7, FALSE) * BC28 * 8</f>
        <v>842.40000000000009</v>
      </c>
      <c r="BG28">
        <f>VLOOKUP($BG$6, 'Other Lists'!$B$27:$H$32, 7, FALSE) * BD28 * 8</f>
        <v>777.59999999999991</v>
      </c>
      <c r="BH28">
        <f t="shared" si="17"/>
        <v>1641.6</v>
      </c>
      <c r="BI28">
        <f t="shared" si="18"/>
        <v>7.3285714285714283</v>
      </c>
      <c r="BK28">
        <v>2</v>
      </c>
      <c r="BL28">
        <v>2</v>
      </c>
      <c r="BM28">
        <f>VLOOKUP($BM$6, 'Other Lists'!$B$27:$H$32, 7, FALSE) * BK28 * 8</f>
        <v>648</v>
      </c>
      <c r="BN28">
        <f>VLOOKUP($BN$6, 'Other Lists'!$B$27:$H$32, 7, FALSE) * BL28 * 8</f>
        <v>648</v>
      </c>
      <c r="BO28">
        <f t="shared" si="19"/>
        <v>2937.6</v>
      </c>
    </row>
    <row r="29" spans="2:67">
      <c r="B29">
        <v>181</v>
      </c>
      <c r="C29" s="15">
        <v>45344</v>
      </c>
      <c r="D29">
        <f t="shared" si="0"/>
        <v>5</v>
      </c>
      <c r="E29">
        <v>1</v>
      </c>
      <c r="F29">
        <v>201</v>
      </c>
      <c r="G29">
        <v>424</v>
      </c>
      <c r="H29">
        <v>360</v>
      </c>
      <c r="I29">
        <v>0</v>
      </c>
      <c r="J29">
        <v>420</v>
      </c>
      <c r="K29">
        <v>64</v>
      </c>
      <c r="L29">
        <v>0</v>
      </c>
      <c r="M29">
        <v>334</v>
      </c>
      <c r="N29">
        <f t="shared" si="1"/>
        <v>64</v>
      </c>
      <c r="O29" s="17">
        <f t="shared" si="2"/>
        <v>0.92777777777777781</v>
      </c>
      <c r="P29" s="19">
        <f>VLOOKUP(F29, 'Other Lists'!$B$13:$H$154, 7, FALSE)</f>
        <v>71</v>
      </c>
      <c r="Q29" s="18">
        <f>VLOOKUP(F29, 'Other Lists'!$B$13:$F$15, 5, FALSE)</f>
        <v>32.6</v>
      </c>
      <c r="R29" s="18">
        <f>VLOOKUP(F29, 'Other Lists'!$B$13:$G$15, 6, FALSE)</f>
        <v>16.5</v>
      </c>
      <c r="S29" s="18">
        <f t="shared" si="3"/>
        <v>49.1</v>
      </c>
      <c r="T29">
        <f>VLOOKUP(F29, 'Other Lists'!$B$13:$H$15, 7, FALSE) * M29</f>
        <v>23714</v>
      </c>
      <c r="U29">
        <f t="shared" si="4"/>
        <v>17676</v>
      </c>
      <c r="V29">
        <f t="shared" si="5"/>
        <v>6038</v>
      </c>
      <c r="W29">
        <f t="shared" si="6"/>
        <v>1846</v>
      </c>
      <c r="X29">
        <v>5</v>
      </c>
      <c r="Y29">
        <v>0</v>
      </c>
      <c r="Z29">
        <v>3</v>
      </c>
      <c r="AA29">
        <f t="shared" si="7"/>
        <v>1</v>
      </c>
      <c r="AB29">
        <f>VLOOKUP($AB$6, 'Other Lists'!$B$27:$H$32, 7, FALSE) *Y29*8</f>
        <v>0</v>
      </c>
      <c r="AC29">
        <f>VLOOKUP($AC$6, 'Other Lists'!$B$27:$H$32, 7, FALSE) * Z29 * 8</f>
        <v>842.40000000000009</v>
      </c>
      <c r="AD29">
        <f>VLOOKUP($AD$6, 'Other Lists'!$B$27:$H$32, 7, FALSE) * AA29 * 8</f>
        <v>259.2</v>
      </c>
      <c r="AE29">
        <f t="shared" si="8"/>
        <v>1360.8000000000002</v>
      </c>
      <c r="AF29" s="18">
        <f t="shared" si="9"/>
        <v>3.7800000000000007</v>
      </c>
      <c r="AH29">
        <v>105</v>
      </c>
      <c r="AI29">
        <v>218</v>
      </c>
      <c r="AJ29">
        <v>216</v>
      </c>
      <c r="AK29">
        <v>0</v>
      </c>
      <c r="AL29">
        <v>216</v>
      </c>
      <c r="AM29">
        <v>2</v>
      </c>
      <c r="AN29">
        <v>0</v>
      </c>
      <c r="AO29">
        <v>205</v>
      </c>
      <c r="AP29">
        <f t="shared" si="10"/>
        <v>2</v>
      </c>
      <c r="AQ29" s="17">
        <f t="shared" si="11"/>
        <v>0.94907407407407407</v>
      </c>
      <c r="AR29" s="18">
        <f>VLOOKUP($AH$8, 'Other Lists'!$B$13:$H$15, 7, FALSE)</f>
        <v>184</v>
      </c>
      <c r="AS29" s="18">
        <f>VLOOKUP($AH$8, 'Other Lists'!$B$13:$F$15, 5, FALSE)</f>
        <v>129</v>
      </c>
      <c r="AT29" s="18">
        <f>VLOOKUP($AH$8, 'Other Lists'!$B$13:$G$15, 6, FALSE)</f>
        <v>36</v>
      </c>
      <c r="AU29" s="18">
        <f t="shared" si="12"/>
        <v>165</v>
      </c>
      <c r="AV29" s="18">
        <f>VLOOKUP($AH$84, 'Other Lists'!$B$13:$H$15, 7, FALSE) *AO29</f>
        <v>37720</v>
      </c>
      <c r="AW29" s="18">
        <f t="shared" si="13"/>
        <v>35640</v>
      </c>
      <c r="AX29" s="18">
        <f t="shared" si="14"/>
        <v>2080</v>
      </c>
      <c r="AY29" s="18">
        <f t="shared" si="15"/>
        <v>2024</v>
      </c>
      <c r="AZ29">
        <v>8</v>
      </c>
      <c r="BA29">
        <v>8</v>
      </c>
      <c r="BB29">
        <v>0</v>
      </c>
      <c r="BC29">
        <v>4</v>
      </c>
      <c r="BD29">
        <f t="shared" si="16"/>
        <v>2</v>
      </c>
      <c r="BE29">
        <f>VLOOKUP($BE$6, 'Other Lists'!$B$27:$H$32, 7, FALSE) *BB29*8</f>
        <v>0</v>
      </c>
      <c r="BF29">
        <f>VLOOKUP($BF$6, 'Other Lists'!$B$27:$H$32, 7, FALSE) * BC29 * 8</f>
        <v>1123.2</v>
      </c>
      <c r="BG29">
        <f>VLOOKUP($BG$6, 'Other Lists'!$B$27:$H$32, 7, FALSE) * BD29 * 8</f>
        <v>518.4</v>
      </c>
      <c r="BH29">
        <f t="shared" si="17"/>
        <v>1641.6</v>
      </c>
      <c r="BI29">
        <f t="shared" si="18"/>
        <v>7.6</v>
      </c>
      <c r="BK29">
        <v>2</v>
      </c>
      <c r="BL29">
        <v>2</v>
      </c>
      <c r="BM29">
        <f>VLOOKUP($BM$6, 'Other Lists'!$B$27:$H$32, 7, FALSE) * BK29 * 8</f>
        <v>648</v>
      </c>
      <c r="BN29">
        <f>VLOOKUP($BN$6, 'Other Lists'!$B$27:$H$32, 7, FALSE) * BL29 * 8</f>
        <v>648</v>
      </c>
      <c r="BO29">
        <f t="shared" si="19"/>
        <v>2937.6</v>
      </c>
    </row>
    <row r="30" spans="2:67">
      <c r="B30">
        <v>182</v>
      </c>
      <c r="C30" s="15">
        <v>45345</v>
      </c>
      <c r="D30">
        <f t="shared" si="0"/>
        <v>6</v>
      </c>
      <c r="E30">
        <v>1</v>
      </c>
      <c r="F30">
        <v>119</v>
      </c>
      <c r="G30">
        <v>1155</v>
      </c>
      <c r="H30">
        <v>1102</v>
      </c>
      <c r="I30">
        <v>0</v>
      </c>
      <c r="J30">
        <v>1049.9999999999998</v>
      </c>
      <c r="K30">
        <v>53</v>
      </c>
      <c r="L30">
        <v>0</v>
      </c>
      <c r="M30">
        <v>1024</v>
      </c>
      <c r="N30">
        <f t="shared" si="1"/>
        <v>53</v>
      </c>
      <c r="O30" s="17">
        <f t="shared" si="2"/>
        <v>0.92921960072595278</v>
      </c>
      <c r="P30" s="19">
        <f>VLOOKUP(F30, 'Other Lists'!$B$13:$H$154, 7, FALSE)</f>
        <v>32</v>
      </c>
      <c r="Q30" s="18">
        <f>VLOOKUP(F30, 'Other Lists'!$B$13:$F$15, 5, FALSE)</f>
        <v>17.8</v>
      </c>
      <c r="R30" s="18">
        <f>VLOOKUP(F30, 'Other Lists'!$B$13:$G$15, 6, FALSE)</f>
        <v>11</v>
      </c>
      <c r="S30" s="18">
        <f t="shared" si="3"/>
        <v>28.8</v>
      </c>
      <c r="T30">
        <f>VLOOKUP(F30, 'Other Lists'!$B$13:$H$15, 7, FALSE) * M30</f>
        <v>32768</v>
      </c>
      <c r="U30">
        <f t="shared" si="4"/>
        <v>31737.600000000002</v>
      </c>
      <c r="V30">
        <f t="shared" si="5"/>
        <v>1030.3999999999978</v>
      </c>
      <c r="W30">
        <f t="shared" si="6"/>
        <v>2496</v>
      </c>
      <c r="X30">
        <v>6</v>
      </c>
      <c r="Y30">
        <v>0</v>
      </c>
      <c r="Z30">
        <v>4</v>
      </c>
      <c r="AA30">
        <f t="shared" si="7"/>
        <v>1</v>
      </c>
      <c r="AB30">
        <f>VLOOKUP($AB$6, 'Other Lists'!$B$27:$H$32, 7, FALSE) *Y30*8</f>
        <v>0</v>
      </c>
      <c r="AC30">
        <f>VLOOKUP($AC$6, 'Other Lists'!$B$27:$H$32, 7, FALSE) * Z30 * 8</f>
        <v>1123.2</v>
      </c>
      <c r="AD30">
        <f>VLOOKUP($AD$6, 'Other Lists'!$B$27:$H$32, 7, FALSE) * AA30 * 8</f>
        <v>259.2</v>
      </c>
      <c r="AE30">
        <f t="shared" si="8"/>
        <v>1360.8000000000002</v>
      </c>
      <c r="AF30" s="18">
        <f t="shared" si="9"/>
        <v>1.2348457350272235</v>
      </c>
      <c r="AH30">
        <v>105</v>
      </c>
      <c r="AI30">
        <v>194</v>
      </c>
      <c r="AJ30">
        <v>194</v>
      </c>
      <c r="AK30">
        <v>0</v>
      </c>
      <c r="AL30">
        <v>216</v>
      </c>
      <c r="AM30">
        <v>0</v>
      </c>
      <c r="AN30">
        <v>0</v>
      </c>
      <c r="AO30">
        <v>180</v>
      </c>
      <c r="AP30">
        <f t="shared" si="10"/>
        <v>0</v>
      </c>
      <c r="AQ30" s="17">
        <f t="shared" si="11"/>
        <v>0.92783505154639179</v>
      </c>
      <c r="AR30" s="18">
        <f>VLOOKUP($AH$8, 'Other Lists'!$B$13:$H$15, 7, FALSE)</f>
        <v>184</v>
      </c>
      <c r="AS30" s="18">
        <f>VLOOKUP($AH$8, 'Other Lists'!$B$13:$F$15, 5, FALSE)</f>
        <v>129</v>
      </c>
      <c r="AT30" s="18">
        <f>VLOOKUP($AH$8, 'Other Lists'!$B$13:$G$15, 6, FALSE)</f>
        <v>36</v>
      </c>
      <c r="AU30" s="18">
        <f t="shared" si="12"/>
        <v>165</v>
      </c>
      <c r="AV30" s="18">
        <f>VLOOKUP($AH$84, 'Other Lists'!$B$13:$H$15, 7, FALSE) *AO30</f>
        <v>33120</v>
      </c>
      <c r="AW30" s="18">
        <f t="shared" si="13"/>
        <v>32010</v>
      </c>
      <c r="AX30" s="18">
        <f t="shared" si="14"/>
        <v>1110</v>
      </c>
      <c r="AY30" s="18">
        <f t="shared" si="15"/>
        <v>2576</v>
      </c>
      <c r="AZ30">
        <v>8</v>
      </c>
      <c r="BA30">
        <v>8</v>
      </c>
      <c r="BB30">
        <v>0</v>
      </c>
      <c r="BC30">
        <v>3</v>
      </c>
      <c r="BD30">
        <f t="shared" si="16"/>
        <v>3</v>
      </c>
      <c r="BE30">
        <f>VLOOKUP($BE$6, 'Other Lists'!$B$27:$H$32, 7, FALSE) *BB30*8</f>
        <v>0</v>
      </c>
      <c r="BF30">
        <f>VLOOKUP($BF$6, 'Other Lists'!$B$27:$H$32, 7, FALSE) * BC30 * 8</f>
        <v>842.40000000000009</v>
      </c>
      <c r="BG30">
        <f>VLOOKUP($BG$6, 'Other Lists'!$B$27:$H$32, 7, FALSE) * BD30 * 8</f>
        <v>777.59999999999991</v>
      </c>
      <c r="BH30">
        <f t="shared" si="17"/>
        <v>1641.6</v>
      </c>
      <c r="BI30">
        <f t="shared" si="18"/>
        <v>8.4618556701030929</v>
      </c>
      <c r="BK30">
        <v>2</v>
      </c>
      <c r="BL30">
        <v>2</v>
      </c>
      <c r="BM30">
        <f>VLOOKUP($BM$6, 'Other Lists'!$B$27:$H$32, 7, FALSE) * BK30 * 8</f>
        <v>648</v>
      </c>
      <c r="BN30">
        <f>VLOOKUP($BN$6, 'Other Lists'!$B$27:$H$32, 7, FALSE) * BL30 * 8</f>
        <v>648</v>
      </c>
      <c r="BO30">
        <f t="shared" si="19"/>
        <v>2937.6</v>
      </c>
    </row>
    <row r="31" spans="2:67">
      <c r="B31">
        <v>183</v>
      </c>
      <c r="C31" s="15">
        <v>45346</v>
      </c>
      <c r="D31">
        <f t="shared" si="0"/>
        <v>7</v>
      </c>
      <c r="E31">
        <v>1</v>
      </c>
      <c r="F31">
        <v>119</v>
      </c>
      <c r="G31">
        <v>1249</v>
      </c>
      <c r="H31">
        <v>997</v>
      </c>
      <c r="I31">
        <v>0</v>
      </c>
      <c r="J31">
        <v>1049.9999999999998</v>
      </c>
      <c r="K31">
        <v>252</v>
      </c>
      <c r="L31">
        <v>0</v>
      </c>
      <c r="M31">
        <v>977</v>
      </c>
      <c r="N31">
        <f t="shared" si="1"/>
        <v>252</v>
      </c>
      <c r="O31" s="17">
        <f t="shared" si="2"/>
        <v>0.97993981945837516</v>
      </c>
      <c r="P31" s="19">
        <f>VLOOKUP(F31, 'Other Lists'!$B$13:$H$154, 7, FALSE)</f>
        <v>32</v>
      </c>
      <c r="Q31" s="18">
        <f>VLOOKUP(F31, 'Other Lists'!$B$13:$F$15, 5, FALSE)</f>
        <v>17.8</v>
      </c>
      <c r="R31" s="18">
        <f>VLOOKUP(F31, 'Other Lists'!$B$13:$G$15, 6, FALSE)</f>
        <v>11</v>
      </c>
      <c r="S31" s="18">
        <f t="shared" si="3"/>
        <v>28.8</v>
      </c>
      <c r="T31">
        <f>VLOOKUP(F31, 'Other Lists'!$B$13:$H$15, 7, FALSE) * M31</f>
        <v>31264</v>
      </c>
      <c r="U31">
        <f t="shared" si="4"/>
        <v>28713.600000000002</v>
      </c>
      <c r="V31">
        <f t="shared" si="5"/>
        <v>2550.3999999999978</v>
      </c>
      <c r="W31">
        <f t="shared" si="6"/>
        <v>640</v>
      </c>
      <c r="X31">
        <v>6</v>
      </c>
      <c r="Y31">
        <v>0</v>
      </c>
      <c r="Z31">
        <v>4</v>
      </c>
      <c r="AA31">
        <f t="shared" si="7"/>
        <v>1</v>
      </c>
      <c r="AB31">
        <f>VLOOKUP($AB$6, 'Other Lists'!$B$27:$H$32, 7, FALSE) *Y31*8</f>
        <v>0</v>
      </c>
      <c r="AC31">
        <f>VLOOKUP($AC$6, 'Other Lists'!$B$27:$H$32, 7, FALSE) * Z31 * 8</f>
        <v>1123.2</v>
      </c>
      <c r="AD31">
        <f>VLOOKUP($AD$6, 'Other Lists'!$B$27:$H$32, 7, FALSE) * AA31 * 8</f>
        <v>259.2</v>
      </c>
      <c r="AE31">
        <f t="shared" si="8"/>
        <v>1360.8000000000002</v>
      </c>
      <c r="AF31" s="18">
        <f t="shared" si="9"/>
        <v>1.3648946840521567</v>
      </c>
      <c r="AH31">
        <v>105</v>
      </c>
      <c r="AI31">
        <v>252</v>
      </c>
      <c r="AJ31">
        <v>222</v>
      </c>
      <c r="AK31">
        <v>0</v>
      </c>
      <c r="AL31">
        <v>216</v>
      </c>
      <c r="AM31">
        <v>30</v>
      </c>
      <c r="AN31">
        <v>0</v>
      </c>
      <c r="AO31">
        <v>215</v>
      </c>
      <c r="AP31">
        <f t="shared" si="10"/>
        <v>30</v>
      </c>
      <c r="AQ31" s="17">
        <f t="shared" si="11"/>
        <v>0.96846846846846846</v>
      </c>
      <c r="AR31" s="18">
        <f>VLOOKUP($AH$8, 'Other Lists'!$B$13:$H$15, 7, FALSE)</f>
        <v>184</v>
      </c>
      <c r="AS31" s="18">
        <f>VLOOKUP($AH$8, 'Other Lists'!$B$13:$F$15, 5, FALSE)</f>
        <v>129</v>
      </c>
      <c r="AT31" s="18">
        <f>VLOOKUP($AH$8, 'Other Lists'!$B$13:$G$15, 6, FALSE)</f>
        <v>36</v>
      </c>
      <c r="AU31" s="18">
        <f t="shared" si="12"/>
        <v>165</v>
      </c>
      <c r="AV31" s="18">
        <f>VLOOKUP($AH$84, 'Other Lists'!$B$13:$H$15, 7, FALSE) *AO31</f>
        <v>39560</v>
      </c>
      <c r="AW31" s="18">
        <f t="shared" si="13"/>
        <v>36630</v>
      </c>
      <c r="AX31" s="18">
        <f t="shared" si="14"/>
        <v>2930</v>
      </c>
      <c r="AY31" s="18">
        <f t="shared" si="15"/>
        <v>1288</v>
      </c>
      <c r="AZ31">
        <v>8</v>
      </c>
      <c r="BA31">
        <v>8</v>
      </c>
      <c r="BB31">
        <v>0</v>
      </c>
      <c r="BC31">
        <v>3</v>
      </c>
      <c r="BD31">
        <f t="shared" si="16"/>
        <v>3</v>
      </c>
      <c r="BE31">
        <f>VLOOKUP($BE$6, 'Other Lists'!$B$27:$H$32, 7, FALSE) *BB31*8</f>
        <v>0</v>
      </c>
      <c r="BF31">
        <f>VLOOKUP($BF$6, 'Other Lists'!$B$27:$H$32, 7, FALSE) * BC31 * 8</f>
        <v>842.40000000000009</v>
      </c>
      <c r="BG31">
        <f>VLOOKUP($BG$6, 'Other Lists'!$B$27:$H$32, 7, FALSE) * BD31 * 8</f>
        <v>777.59999999999991</v>
      </c>
      <c r="BH31">
        <f t="shared" si="17"/>
        <v>1641.6</v>
      </c>
      <c r="BI31">
        <f t="shared" si="18"/>
        <v>7.3945945945945946</v>
      </c>
      <c r="BK31">
        <v>2</v>
      </c>
      <c r="BL31">
        <v>2</v>
      </c>
      <c r="BM31">
        <f>VLOOKUP($BM$6, 'Other Lists'!$B$27:$H$32, 7, FALSE) * BK31 * 8</f>
        <v>648</v>
      </c>
      <c r="BN31">
        <f>VLOOKUP($BN$6, 'Other Lists'!$B$27:$H$32, 7, FALSE) * BL31 * 8</f>
        <v>648</v>
      </c>
      <c r="BO31">
        <f t="shared" si="19"/>
        <v>2937.6</v>
      </c>
    </row>
    <row r="32" spans="2:67">
      <c r="B32">
        <v>184</v>
      </c>
      <c r="C32" s="15">
        <v>45347</v>
      </c>
      <c r="D32">
        <f t="shared" si="0"/>
        <v>1</v>
      </c>
      <c r="E32">
        <v>1</v>
      </c>
      <c r="F32">
        <v>119</v>
      </c>
      <c r="G32">
        <v>483</v>
      </c>
      <c r="H32">
        <v>483</v>
      </c>
      <c r="I32">
        <v>0</v>
      </c>
      <c r="J32">
        <v>524.99999999999989</v>
      </c>
      <c r="K32">
        <v>0</v>
      </c>
      <c r="L32">
        <v>0</v>
      </c>
      <c r="M32">
        <v>449</v>
      </c>
      <c r="N32">
        <f t="shared" si="1"/>
        <v>0</v>
      </c>
      <c r="O32" s="17">
        <f t="shared" si="2"/>
        <v>0.92960662525879922</v>
      </c>
      <c r="P32" s="19">
        <f>VLOOKUP(F32, 'Other Lists'!$B$13:$H$154, 7, FALSE)</f>
        <v>32</v>
      </c>
      <c r="Q32" s="18">
        <f>VLOOKUP(F32, 'Other Lists'!$B$13:$F$15, 5, FALSE)</f>
        <v>17.8</v>
      </c>
      <c r="R32" s="18">
        <f>VLOOKUP(F32, 'Other Lists'!$B$13:$G$15, 6, FALSE)</f>
        <v>11</v>
      </c>
      <c r="S32" s="18">
        <f t="shared" si="3"/>
        <v>28.8</v>
      </c>
      <c r="T32">
        <f>VLOOKUP(F32, 'Other Lists'!$B$13:$H$15, 7, FALSE) * M32</f>
        <v>14368</v>
      </c>
      <c r="U32">
        <f t="shared" si="4"/>
        <v>13910.4</v>
      </c>
      <c r="V32">
        <f t="shared" si="5"/>
        <v>457.60000000000036</v>
      </c>
      <c r="W32">
        <f t="shared" si="6"/>
        <v>1088</v>
      </c>
      <c r="X32">
        <v>3</v>
      </c>
      <c r="Y32">
        <v>0</v>
      </c>
      <c r="Z32">
        <v>2</v>
      </c>
      <c r="AA32">
        <f t="shared" si="7"/>
        <v>0</v>
      </c>
      <c r="AB32">
        <f>VLOOKUP($AB$6, 'Other Lists'!$B$27:$H$32, 7, FALSE) *Y32*8</f>
        <v>0</v>
      </c>
      <c r="AC32">
        <f>VLOOKUP($AC$6, 'Other Lists'!$B$27:$H$32, 7, FALSE) * Z32 * 8</f>
        <v>561.6</v>
      </c>
      <c r="AD32">
        <f>VLOOKUP($AD$6, 'Other Lists'!$B$27:$H$32, 7, FALSE) * AA32 * 8</f>
        <v>0</v>
      </c>
      <c r="AE32">
        <f t="shared" si="8"/>
        <v>1360.8000000000002</v>
      </c>
      <c r="AF32" s="18">
        <f t="shared" si="9"/>
        <v>2.8173913043478263</v>
      </c>
      <c r="AH32">
        <v>105</v>
      </c>
      <c r="AI32">
        <v>101</v>
      </c>
      <c r="AJ32">
        <v>101</v>
      </c>
      <c r="AK32">
        <v>0</v>
      </c>
      <c r="AL32">
        <v>108</v>
      </c>
      <c r="AM32">
        <v>0</v>
      </c>
      <c r="AN32">
        <v>0</v>
      </c>
      <c r="AO32">
        <v>97</v>
      </c>
      <c r="AP32">
        <f t="shared" si="10"/>
        <v>0</v>
      </c>
      <c r="AQ32" s="17">
        <f t="shared" si="11"/>
        <v>0.96039603960396036</v>
      </c>
      <c r="AR32" s="18">
        <f>VLOOKUP($AH$8, 'Other Lists'!$B$13:$H$15, 7, FALSE)</f>
        <v>184</v>
      </c>
      <c r="AS32" s="18">
        <f>VLOOKUP($AH$8, 'Other Lists'!$B$13:$F$15, 5, FALSE)</f>
        <v>129</v>
      </c>
      <c r="AT32" s="18">
        <f>VLOOKUP($AH$8, 'Other Lists'!$B$13:$G$15, 6, FALSE)</f>
        <v>36</v>
      </c>
      <c r="AU32" s="18">
        <f t="shared" si="12"/>
        <v>165</v>
      </c>
      <c r="AV32" s="18">
        <f>VLOOKUP($AH$84, 'Other Lists'!$B$13:$H$15, 7, FALSE) *AO32</f>
        <v>17848</v>
      </c>
      <c r="AW32" s="18">
        <f t="shared" si="13"/>
        <v>16665</v>
      </c>
      <c r="AX32" s="18">
        <f t="shared" si="14"/>
        <v>1183</v>
      </c>
      <c r="AY32" s="18">
        <f t="shared" si="15"/>
        <v>736</v>
      </c>
      <c r="AZ32">
        <v>4</v>
      </c>
      <c r="BA32">
        <v>4</v>
      </c>
      <c r="BB32">
        <v>0</v>
      </c>
      <c r="BC32">
        <v>2</v>
      </c>
      <c r="BD32">
        <f t="shared" si="16"/>
        <v>1</v>
      </c>
      <c r="BE32">
        <f>VLOOKUP($BE$6, 'Other Lists'!$B$27:$H$32, 7, FALSE) *BB32*8</f>
        <v>0</v>
      </c>
      <c r="BF32">
        <f>VLOOKUP($BF$6, 'Other Lists'!$B$27:$H$32, 7, FALSE) * BC32 * 8</f>
        <v>561.6</v>
      </c>
      <c r="BG32">
        <f>VLOOKUP($BG$6, 'Other Lists'!$B$27:$H$32, 7, FALSE) * BD32 * 8</f>
        <v>259.2</v>
      </c>
      <c r="BH32">
        <f t="shared" si="17"/>
        <v>1641.6</v>
      </c>
      <c r="BI32">
        <f t="shared" si="18"/>
        <v>16.253465346534654</v>
      </c>
      <c r="BK32">
        <v>1</v>
      </c>
      <c r="BL32">
        <v>1</v>
      </c>
      <c r="BM32">
        <f>VLOOKUP($BM$6, 'Other Lists'!$B$27:$H$32, 7, FALSE) * BK32 * 8</f>
        <v>324</v>
      </c>
      <c r="BN32">
        <f>VLOOKUP($BN$6, 'Other Lists'!$B$27:$H$32, 7, FALSE) * BL32 * 8</f>
        <v>324</v>
      </c>
      <c r="BO32">
        <f t="shared" si="19"/>
        <v>2289.6</v>
      </c>
    </row>
    <row r="33" spans="2:67">
      <c r="B33">
        <v>185</v>
      </c>
      <c r="C33" s="15">
        <v>45348</v>
      </c>
      <c r="D33">
        <f t="shared" si="0"/>
        <v>2</v>
      </c>
      <c r="E33">
        <v>1</v>
      </c>
      <c r="F33">
        <v>119</v>
      </c>
      <c r="G33">
        <v>530</v>
      </c>
      <c r="H33">
        <v>530</v>
      </c>
      <c r="I33">
        <v>0</v>
      </c>
      <c r="J33">
        <v>524.99999999999989</v>
      </c>
      <c r="K33">
        <v>0</v>
      </c>
      <c r="L33">
        <v>0</v>
      </c>
      <c r="M33">
        <v>519</v>
      </c>
      <c r="N33">
        <f t="shared" si="1"/>
        <v>0</v>
      </c>
      <c r="O33" s="17">
        <f t="shared" si="2"/>
        <v>0.97924528301886793</v>
      </c>
      <c r="P33" s="19">
        <f>VLOOKUP(F33, 'Other Lists'!$B$13:$H$154, 7, FALSE)</f>
        <v>32</v>
      </c>
      <c r="Q33" s="18">
        <f>VLOOKUP(F33, 'Other Lists'!$B$13:$F$15, 5, FALSE)</f>
        <v>17.8</v>
      </c>
      <c r="R33" s="18">
        <f>VLOOKUP(F33, 'Other Lists'!$B$13:$G$15, 6, FALSE)</f>
        <v>11</v>
      </c>
      <c r="S33" s="18">
        <f t="shared" si="3"/>
        <v>28.8</v>
      </c>
      <c r="T33">
        <f>VLOOKUP(F33, 'Other Lists'!$B$13:$H$15, 7, FALSE) * M33</f>
        <v>16608</v>
      </c>
      <c r="U33">
        <f t="shared" si="4"/>
        <v>15264</v>
      </c>
      <c r="V33">
        <f t="shared" si="5"/>
        <v>1344</v>
      </c>
      <c r="W33">
        <f t="shared" si="6"/>
        <v>352</v>
      </c>
      <c r="X33">
        <v>3</v>
      </c>
      <c r="Y33">
        <v>0</v>
      </c>
      <c r="Z33">
        <v>2</v>
      </c>
      <c r="AA33">
        <f t="shared" si="7"/>
        <v>0</v>
      </c>
      <c r="AB33">
        <f>VLOOKUP($AB$6, 'Other Lists'!$B$27:$H$32, 7, FALSE) *Y33*8</f>
        <v>0</v>
      </c>
      <c r="AC33">
        <f>VLOOKUP($AC$6, 'Other Lists'!$B$27:$H$32, 7, FALSE) * Z33 * 8</f>
        <v>561.6</v>
      </c>
      <c r="AD33">
        <f>VLOOKUP($AD$6, 'Other Lists'!$B$27:$H$32, 7, FALSE) * AA33 * 8</f>
        <v>0</v>
      </c>
      <c r="AE33">
        <f t="shared" si="8"/>
        <v>1360.8000000000002</v>
      </c>
      <c r="AF33" s="18">
        <f t="shared" si="9"/>
        <v>2.5675471698113213</v>
      </c>
      <c r="AH33">
        <v>105</v>
      </c>
      <c r="AI33">
        <v>89</v>
      </c>
      <c r="AJ33">
        <v>89</v>
      </c>
      <c r="AK33">
        <v>0</v>
      </c>
      <c r="AL33">
        <v>108</v>
      </c>
      <c r="AM33">
        <v>0</v>
      </c>
      <c r="AN33">
        <v>0</v>
      </c>
      <c r="AO33">
        <v>82</v>
      </c>
      <c r="AP33">
        <f t="shared" si="10"/>
        <v>0</v>
      </c>
      <c r="AQ33" s="17">
        <f t="shared" si="11"/>
        <v>0.9213483146067416</v>
      </c>
      <c r="AR33" s="18">
        <f>VLOOKUP($AH$8, 'Other Lists'!$B$13:$H$15, 7, FALSE)</f>
        <v>184</v>
      </c>
      <c r="AS33" s="18">
        <f>VLOOKUP($AH$8, 'Other Lists'!$B$13:$F$15, 5, FALSE)</f>
        <v>129</v>
      </c>
      <c r="AT33" s="18">
        <f>VLOOKUP($AH$8, 'Other Lists'!$B$13:$G$15, 6, FALSE)</f>
        <v>36</v>
      </c>
      <c r="AU33" s="18">
        <f t="shared" si="12"/>
        <v>165</v>
      </c>
      <c r="AV33" s="18">
        <f>VLOOKUP($AH$84, 'Other Lists'!$B$13:$H$15, 7, FALSE) *AO33</f>
        <v>15088</v>
      </c>
      <c r="AW33" s="18">
        <f t="shared" si="13"/>
        <v>14685</v>
      </c>
      <c r="AX33" s="18">
        <f t="shared" si="14"/>
        <v>403</v>
      </c>
      <c r="AY33" s="18">
        <f t="shared" si="15"/>
        <v>1288</v>
      </c>
      <c r="AZ33">
        <v>4</v>
      </c>
      <c r="BA33">
        <v>4</v>
      </c>
      <c r="BB33">
        <v>0</v>
      </c>
      <c r="BC33">
        <v>2</v>
      </c>
      <c r="BD33">
        <f t="shared" si="16"/>
        <v>1</v>
      </c>
      <c r="BE33">
        <f>VLOOKUP($BE$6, 'Other Lists'!$B$27:$H$32, 7, FALSE) *BB33*8</f>
        <v>0</v>
      </c>
      <c r="BF33">
        <f>VLOOKUP($BF$6, 'Other Lists'!$B$27:$H$32, 7, FALSE) * BC33 * 8</f>
        <v>561.6</v>
      </c>
      <c r="BG33">
        <f>VLOOKUP($BG$6, 'Other Lists'!$B$27:$H$32, 7, FALSE) * BD33 * 8</f>
        <v>259.2</v>
      </c>
      <c r="BH33">
        <f t="shared" si="17"/>
        <v>1641.6</v>
      </c>
      <c r="BI33">
        <f t="shared" si="18"/>
        <v>18.444943820224719</v>
      </c>
      <c r="BK33">
        <v>1</v>
      </c>
      <c r="BL33">
        <v>1</v>
      </c>
      <c r="BM33">
        <f>VLOOKUP($BM$6, 'Other Lists'!$B$27:$H$32, 7, FALSE) * BK33 * 8</f>
        <v>324</v>
      </c>
      <c r="BN33">
        <f>VLOOKUP($BN$6, 'Other Lists'!$B$27:$H$32, 7, FALSE) * BL33 * 8</f>
        <v>324</v>
      </c>
      <c r="BO33">
        <f t="shared" si="19"/>
        <v>2289.6</v>
      </c>
    </row>
    <row r="34" spans="2:67">
      <c r="B34">
        <v>186</v>
      </c>
      <c r="C34" s="15">
        <v>45349</v>
      </c>
      <c r="D34">
        <f t="shared" si="0"/>
        <v>3</v>
      </c>
      <c r="E34">
        <v>1</v>
      </c>
      <c r="F34">
        <v>201</v>
      </c>
      <c r="G34">
        <v>373</v>
      </c>
      <c r="H34">
        <v>373</v>
      </c>
      <c r="I34">
        <v>0</v>
      </c>
      <c r="J34">
        <v>420</v>
      </c>
      <c r="K34">
        <v>0</v>
      </c>
      <c r="L34">
        <v>0</v>
      </c>
      <c r="M34">
        <v>350</v>
      </c>
      <c r="N34">
        <f t="shared" si="1"/>
        <v>0</v>
      </c>
      <c r="O34" s="17">
        <f t="shared" si="2"/>
        <v>0.93833780160857905</v>
      </c>
      <c r="P34" s="19">
        <f>VLOOKUP(F34, 'Other Lists'!$B$13:$H$154, 7, FALSE)</f>
        <v>71</v>
      </c>
      <c r="Q34" s="18">
        <f>VLOOKUP(F34, 'Other Lists'!$B$13:$F$15, 5, FALSE)</f>
        <v>32.6</v>
      </c>
      <c r="R34" s="18">
        <f>VLOOKUP(F34, 'Other Lists'!$B$13:$G$15, 6, FALSE)</f>
        <v>16.5</v>
      </c>
      <c r="S34" s="18">
        <f t="shared" si="3"/>
        <v>49.1</v>
      </c>
      <c r="T34">
        <f>VLOOKUP(F34, 'Other Lists'!$B$13:$H$15, 7, FALSE) * M34</f>
        <v>24850</v>
      </c>
      <c r="U34">
        <f t="shared" si="4"/>
        <v>18314.3</v>
      </c>
      <c r="V34">
        <f t="shared" si="5"/>
        <v>6535.7000000000007</v>
      </c>
      <c r="W34">
        <f t="shared" si="6"/>
        <v>1633</v>
      </c>
      <c r="X34">
        <v>6</v>
      </c>
      <c r="Y34">
        <v>0</v>
      </c>
      <c r="Z34">
        <v>4</v>
      </c>
      <c r="AA34">
        <f t="shared" si="7"/>
        <v>1</v>
      </c>
      <c r="AB34">
        <f>VLOOKUP($AB$6, 'Other Lists'!$B$27:$H$32, 7, FALSE) *Y34*8</f>
        <v>0</v>
      </c>
      <c r="AC34">
        <f>VLOOKUP($AC$6, 'Other Lists'!$B$27:$H$32, 7, FALSE) * Z34 * 8</f>
        <v>1123.2</v>
      </c>
      <c r="AD34">
        <f>VLOOKUP($AD$6, 'Other Lists'!$B$27:$H$32, 7, FALSE) * AA34 * 8</f>
        <v>259.2</v>
      </c>
      <c r="AE34">
        <f t="shared" si="8"/>
        <v>1360.8000000000002</v>
      </c>
      <c r="AF34" s="18">
        <f t="shared" si="9"/>
        <v>3.6482573726541561</v>
      </c>
      <c r="AH34">
        <v>105</v>
      </c>
      <c r="AI34">
        <v>211</v>
      </c>
      <c r="AJ34">
        <v>209</v>
      </c>
      <c r="AK34">
        <v>0</v>
      </c>
      <c r="AL34">
        <v>216</v>
      </c>
      <c r="AM34">
        <v>2</v>
      </c>
      <c r="AN34">
        <v>0</v>
      </c>
      <c r="AO34">
        <v>202</v>
      </c>
      <c r="AP34">
        <f t="shared" si="10"/>
        <v>2</v>
      </c>
      <c r="AQ34" s="17">
        <f t="shared" si="11"/>
        <v>0.96650717703349287</v>
      </c>
      <c r="AR34" s="18">
        <f>VLOOKUP($AH$8, 'Other Lists'!$B$13:$H$15, 7, FALSE)</f>
        <v>184</v>
      </c>
      <c r="AS34" s="18">
        <f>VLOOKUP($AH$8, 'Other Lists'!$B$13:$F$15, 5, FALSE)</f>
        <v>129</v>
      </c>
      <c r="AT34" s="18">
        <f>VLOOKUP($AH$8, 'Other Lists'!$B$13:$G$15, 6, FALSE)</f>
        <v>36</v>
      </c>
      <c r="AU34" s="18">
        <f t="shared" si="12"/>
        <v>165</v>
      </c>
      <c r="AV34" s="18">
        <f>VLOOKUP($AH$84, 'Other Lists'!$B$13:$H$15, 7, FALSE) *AO34</f>
        <v>37168</v>
      </c>
      <c r="AW34" s="18">
        <f t="shared" si="13"/>
        <v>34485</v>
      </c>
      <c r="AX34" s="18">
        <f t="shared" si="14"/>
        <v>2683</v>
      </c>
      <c r="AY34" s="18">
        <f t="shared" si="15"/>
        <v>1288</v>
      </c>
      <c r="AZ34">
        <v>8</v>
      </c>
      <c r="BA34">
        <v>8</v>
      </c>
      <c r="BB34">
        <v>0</v>
      </c>
      <c r="BC34">
        <v>4</v>
      </c>
      <c r="BD34">
        <f t="shared" si="16"/>
        <v>2</v>
      </c>
      <c r="BE34">
        <f>VLOOKUP($BE$6, 'Other Lists'!$B$27:$H$32, 7, FALSE) *BB34*8</f>
        <v>0</v>
      </c>
      <c r="BF34">
        <f>VLOOKUP($BF$6, 'Other Lists'!$B$27:$H$32, 7, FALSE) * BC34 * 8</f>
        <v>1123.2</v>
      </c>
      <c r="BG34">
        <f>VLOOKUP($BG$6, 'Other Lists'!$B$27:$H$32, 7, FALSE) * BD34 * 8</f>
        <v>518.4</v>
      </c>
      <c r="BH34">
        <f t="shared" si="17"/>
        <v>1641.6</v>
      </c>
      <c r="BI34">
        <f t="shared" si="18"/>
        <v>7.8545454545454545</v>
      </c>
      <c r="BK34">
        <v>2</v>
      </c>
      <c r="BL34">
        <v>2</v>
      </c>
      <c r="BM34">
        <f>VLOOKUP($BM$6, 'Other Lists'!$B$27:$H$32, 7, FALSE) * BK34 * 8</f>
        <v>648</v>
      </c>
      <c r="BN34">
        <f>VLOOKUP($BN$6, 'Other Lists'!$B$27:$H$32, 7, FALSE) * BL34 * 8</f>
        <v>648</v>
      </c>
      <c r="BO34">
        <f t="shared" si="19"/>
        <v>2937.6</v>
      </c>
    </row>
    <row r="35" spans="2:67">
      <c r="B35">
        <v>187</v>
      </c>
      <c r="C35" s="15">
        <v>45350</v>
      </c>
      <c r="D35">
        <f t="shared" si="0"/>
        <v>4</v>
      </c>
      <c r="E35">
        <v>1</v>
      </c>
      <c r="F35">
        <v>201</v>
      </c>
      <c r="G35">
        <v>411</v>
      </c>
      <c r="H35">
        <v>411</v>
      </c>
      <c r="I35">
        <v>0</v>
      </c>
      <c r="J35">
        <v>420</v>
      </c>
      <c r="K35">
        <v>0</v>
      </c>
      <c r="L35">
        <v>0</v>
      </c>
      <c r="M35">
        <v>402</v>
      </c>
      <c r="N35">
        <f t="shared" si="1"/>
        <v>0</v>
      </c>
      <c r="O35" s="17">
        <f t="shared" si="2"/>
        <v>0.97810218978102192</v>
      </c>
      <c r="P35" s="19">
        <f>VLOOKUP(F35, 'Other Lists'!$B$13:$H$154, 7, FALSE)</f>
        <v>71</v>
      </c>
      <c r="Q35" s="18">
        <f>VLOOKUP(F35, 'Other Lists'!$B$13:$F$15, 5, FALSE)</f>
        <v>32.6</v>
      </c>
      <c r="R35" s="18">
        <f>VLOOKUP(F35, 'Other Lists'!$B$13:$G$15, 6, FALSE)</f>
        <v>16.5</v>
      </c>
      <c r="S35" s="18">
        <f t="shared" si="3"/>
        <v>49.1</v>
      </c>
      <c r="T35">
        <f>VLOOKUP(F35, 'Other Lists'!$B$13:$H$15, 7, FALSE) * M35</f>
        <v>28542</v>
      </c>
      <c r="U35">
        <f t="shared" si="4"/>
        <v>20180.100000000002</v>
      </c>
      <c r="V35">
        <f t="shared" si="5"/>
        <v>8361.8999999999978</v>
      </c>
      <c r="W35">
        <f t="shared" si="6"/>
        <v>639</v>
      </c>
      <c r="X35">
        <v>6</v>
      </c>
      <c r="Y35">
        <v>0</v>
      </c>
      <c r="Z35">
        <v>3</v>
      </c>
      <c r="AA35">
        <f t="shared" si="7"/>
        <v>2</v>
      </c>
      <c r="AB35">
        <f>VLOOKUP($AB$6, 'Other Lists'!$B$27:$H$32, 7, FALSE) *Y35*8</f>
        <v>0</v>
      </c>
      <c r="AC35">
        <f>VLOOKUP($AC$6, 'Other Lists'!$B$27:$H$32, 7, FALSE) * Z35 * 8</f>
        <v>842.40000000000009</v>
      </c>
      <c r="AD35">
        <f>VLOOKUP($AD$6, 'Other Lists'!$B$27:$H$32, 7, FALSE) * AA35 * 8</f>
        <v>518.4</v>
      </c>
      <c r="AE35">
        <f t="shared" si="8"/>
        <v>1360.8000000000002</v>
      </c>
      <c r="AF35" s="18">
        <f t="shared" si="9"/>
        <v>3.3109489051094894</v>
      </c>
      <c r="AH35">
        <v>105</v>
      </c>
      <c r="AI35">
        <v>190</v>
      </c>
      <c r="AJ35">
        <v>190</v>
      </c>
      <c r="AK35">
        <v>0</v>
      </c>
      <c r="AL35">
        <v>216</v>
      </c>
      <c r="AM35">
        <v>0</v>
      </c>
      <c r="AN35">
        <v>0</v>
      </c>
      <c r="AO35">
        <v>176</v>
      </c>
      <c r="AP35">
        <f t="shared" si="10"/>
        <v>0</v>
      </c>
      <c r="AQ35" s="17">
        <f t="shared" si="11"/>
        <v>0.9263157894736842</v>
      </c>
      <c r="AR35" s="18">
        <f>VLOOKUP($AH$8, 'Other Lists'!$B$13:$H$15, 7, FALSE)</f>
        <v>184</v>
      </c>
      <c r="AS35" s="18">
        <f>VLOOKUP($AH$8, 'Other Lists'!$B$13:$F$15, 5, FALSE)</f>
        <v>129</v>
      </c>
      <c r="AT35" s="18">
        <f>VLOOKUP($AH$8, 'Other Lists'!$B$13:$G$15, 6, FALSE)</f>
        <v>36</v>
      </c>
      <c r="AU35" s="18">
        <f t="shared" si="12"/>
        <v>165</v>
      </c>
      <c r="AV35" s="18">
        <f>VLOOKUP($AH$84, 'Other Lists'!$B$13:$H$15, 7, FALSE) *AO35</f>
        <v>32384</v>
      </c>
      <c r="AW35" s="18">
        <f t="shared" si="13"/>
        <v>31350</v>
      </c>
      <c r="AX35" s="18">
        <f t="shared" si="14"/>
        <v>1034</v>
      </c>
      <c r="AY35" s="18">
        <f t="shared" si="15"/>
        <v>2576</v>
      </c>
      <c r="AZ35">
        <v>8</v>
      </c>
      <c r="BA35">
        <v>8</v>
      </c>
      <c r="BB35">
        <v>0</v>
      </c>
      <c r="BC35">
        <v>3</v>
      </c>
      <c r="BD35">
        <f t="shared" si="16"/>
        <v>3</v>
      </c>
      <c r="BE35">
        <f>VLOOKUP($BE$6, 'Other Lists'!$B$27:$H$32, 7, FALSE) *BB35*8</f>
        <v>0</v>
      </c>
      <c r="BF35">
        <f>VLOOKUP($BF$6, 'Other Lists'!$B$27:$H$32, 7, FALSE) * BC35 * 8</f>
        <v>842.40000000000009</v>
      </c>
      <c r="BG35">
        <f>VLOOKUP($BG$6, 'Other Lists'!$B$27:$H$32, 7, FALSE) * BD35 * 8</f>
        <v>777.59999999999991</v>
      </c>
      <c r="BH35">
        <f t="shared" si="17"/>
        <v>1641.6</v>
      </c>
      <c r="BI35">
        <f t="shared" si="18"/>
        <v>8.6399999999999988</v>
      </c>
      <c r="BK35">
        <v>2</v>
      </c>
      <c r="BL35">
        <v>2</v>
      </c>
      <c r="BM35">
        <f>VLOOKUP($BM$6, 'Other Lists'!$B$27:$H$32, 7, FALSE) * BK35 * 8</f>
        <v>648</v>
      </c>
      <c r="BN35">
        <f>VLOOKUP($BN$6, 'Other Lists'!$B$27:$H$32, 7, FALSE) * BL35 * 8</f>
        <v>648</v>
      </c>
      <c r="BO35">
        <f t="shared" si="19"/>
        <v>2937.6</v>
      </c>
    </row>
    <row r="36" spans="2:67">
      <c r="B36">
        <v>188</v>
      </c>
      <c r="C36" s="15">
        <v>45351</v>
      </c>
      <c r="D36">
        <f t="shared" si="0"/>
        <v>5</v>
      </c>
      <c r="E36">
        <v>1</v>
      </c>
      <c r="F36">
        <v>201</v>
      </c>
      <c r="G36">
        <v>449</v>
      </c>
      <c r="H36">
        <v>411</v>
      </c>
      <c r="I36">
        <v>0</v>
      </c>
      <c r="J36">
        <v>420</v>
      </c>
      <c r="K36">
        <v>38</v>
      </c>
      <c r="L36">
        <v>0</v>
      </c>
      <c r="M36">
        <v>402</v>
      </c>
      <c r="N36">
        <f t="shared" si="1"/>
        <v>38</v>
      </c>
      <c r="O36" s="17">
        <f t="shared" si="2"/>
        <v>0.97810218978102192</v>
      </c>
      <c r="P36" s="19">
        <f>VLOOKUP(F36, 'Other Lists'!$B$13:$H$154, 7, FALSE)</f>
        <v>71</v>
      </c>
      <c r="Q36" s="18">
        <f>VLOOKUP(F36, 'Other Lists'!$B$13:$F$15, 5, FALSE)</f>
        <v>32.6</v>
      </c>
      <c r="R36" s="18">
        <f>VLOOKUP(F36, 'Other Lists'!$B$13:$G$15, 6, FALSE)</f>
        <v>16.5</v>
      </c>
      <c r="S36" s="18">
        <f t="shared" si="3"/>
        <v>49.1</v>
      </c>
      <c r="T36">
        <f>VLOOKUP(F36, 'Other Lists'!$B$13:$H$15, 7, FALSE) * M36</f>
        <v>28542</v>
      </c>
      <c r="U36">
        <f t="shared" si="4"/>
        <v>20180.100000000002</v>
      </c>
      <c r="V36">
        <f t="shared" si="5"/>
        <v>8361.8999999999978</v>
      </c>
      <c r="W36">
        <f t="shared" si="6"/>
        <v>639</v>
      </c>
      <c r="X36">
        <v>6</v>
      </c>
      <c r="Y36">
        <v>0</v>
      </c>
      <c r="Z36">
        <v>4</v>
      </c>
      <c r="AA36">
        <f t="shared" si="7"/>
        <v>1</v>
      </c>
      <c r="AB36">
        <f>VLOOKUP($AB$6, 'Other Lists'!$B$27:$H$32, 7, FALSE) *Y36*8</f>
        <v>0</v>
      </c>
      <c r="AC36">
        <f>VLOOKUP($AC$6, 'Other Lists'!$B$27:$H$32, 7, FALSE) * Z36 * 8</f>
        <v>1123.2</v>
      </c>
      <c r="AD36">
        <f>VLOOKUP($AD$6, 'Other Lists'!$B$27:$H$32, 7, FALSE) * AA36 * 8</f>
        <v>259.2</v>
      </c>
      <c r="AE36">
        <f t="shared" si="8"/>
        <v>1360.8000000000002</v>
      </c>
      <c r="AF36" s="18">
        <f t="shared" si="9"/>
        <v>3.3109489051094894</v>
      </c>
      <c r="AH36">
        <v>105</v>
      </c>
      <c r="AI36">
        <v>205</v>
      </c>
      <c r="AJ36">
        <v>205</v>
      </c>
      <c r="AK36">
        <v>0</v>
      </c>
      <c r="AL36">
        <v>216</v>
      </c>
      <c r="AM36">
        <v>0</v>
      </c>
      <c r="AN36">
        <v>0</v>
      </c>
      <c r="AO36">
        <v>200</v>
      </c>
      <c r="AP36">
        <f t="shared" si="10"/>
        <v>0</v>
      </c>
      <c r="AQ36" s="17">
        <f t="shared" si="11"/>
        <v>0.97560975609756095</v>
      </c>
      <c r="AR36" s="18">
        <f>VLOOKUP($AH$8, 'Other Lists'!$B$13:$H$15, 7, FALSE)</f>
        <v>184</v>
      </c>
      <c r="AS36" s="18">
        <f>VLOOKUP($AH$8, 'Other Lists'!$B$13:$F$15, 5, FALSE)</f>
        <v>129</v>
      </c>
      <c r="AT36" s="18">
        <f>VLOOKUP($AH$8, 'Other Lists'!$B$13:$G$15, 6, FALSE)</f>
        <v>36</v>
      </c>
      <c r="AU36" s="18">
        <f t="shared" si="12"/>
        <v>165</v>
      </c>
      <c r="AV36" s="18">
        <f>VLOOKUP($AH$84, 'Other Lists'!$B$13:$H$15, 7, FALSE) *AO36</f>
        <v>36800</v>
      </c>
      <c r="AW36" s="18">
        <f t="shared" si="13"/>
        <v>33825</v>
      </c>
      <c r="AX36" s="18">
        <f t="shared" si="14"/>
        <v>2975</v>
      </c>
      <c r="AY36" s="18">
        <f t="shared" si="15"/>
        <v>920</v>
      </c>
      <c r="AZ36">
        <v>8</v>
      </c>
      <c r="BA36">
        <v>8</v>
      </c>
      <c r="BB36">
        <v>0</v>
      </c>
      <c r="BC36">
        <v>3</v>
      </c>
      <c r="BD36">
        <f t="shared" si="16"/>
        <v>3</v>
      </c>
      <c r="BE36">
        <f>VLOOKUP($BE$6, 'Other Lists'!$B$27:$H$32, 7, FALSE) *BB36*8</f>
        <v>0</v>
      </c>
      <c r="BF36">
        <f>VLOOKUP($BF$6, 'Other Lists'!$B$27:$H$32, 7, FALSE) * BC36 * 8</f>
        <v>842.40000000000009</v>
      </c>
      <c r="BG36">
        <f>VLOOKUP($BG$6, 'Other Lists'!$B$27:$H$32, 7, FALSE) * BD36 * 8</f>
        <v>777.59999999999991</v>
      </c>
      <c r="BH36">
        <f t="shared" si="17"/>
        <v>1641.6</v>
      </c>
      <c r="BI36">
        <f t="shared" si="18"/>
        <v>8.0078048780487805</v>
      </c>
      <c r="BK36">
        <v>2</v>
      </c>
      <c r="BL36">
        <v>2</v>
      </c>
      <c r="BM36">
        <f>VLOOKUP($BM$6, 'Other Lists'!$B$27:$H$32, 7, FALSE) * BK36 * 8</f>
        <v>648</v>
      </c>
      <c r="BN36">
        <f>VLOOKUP($BN$6, 'Other Lists'!$B$27:$H$32, 7, FALSE) * BL36 * 8</f>
        <v>648</v>
      </c>
      <c r="BO36">
        <f t="shared" si="19"/>
        <v>2937.6</v>
      </c>
    </row>
    <row r="37" spans="2:67">
      <c r="B37">
        <v>189</v>
      </c>
      <c r="C37" s="15">
        <v>45323</v>
      </c>
      <c r="D37">
        <f t="shared" si="0"/>
        <v>5</v>
      </c>
      <c r="E37">
        <v>2</v>
      </c>
      <c r="F37">
        <v>119</v>
      </c>
      <c r="G37">
        <v>910</v>
      </c>
      <c r="H37">
        <v>866</v>
      </c>
      <c r="I37">
        <v>0</v>
      </c>
      <c r="J37">
        <v>874.99999999999989</v>
      </c>
      <c r="K37">
        <v>44</v>
      </c>
      <c r="L37">
        <v>0</v>
      </c>
      <c r="M37">
        <v>822</v>
      </c>
      <c r="N37">
        <f t="shared" si="1"/>
        <v>44</v>
      </c>
      <c r="O37" s="17">
        <f t="shared" si="2"/>
        <v>0.94919168591224024</v>
      </c>
      <c r="P37" s="19">
        <f>VLOOKUP(F37, 'Other Lists'!$B$13:$H$154, 7, FALSE)</f>
        <v>32</v>
      </c>
      <c r="Q37" s="18">
        <f>VLOOKUP(F37, 'Other Lists'!$B$13:$F$15, 5, FALSE)</f>
        <v>17.8</v>
      </c>
      <c r="R37" s="18">
        <f>VLOOKUP(F37, 'Other Lists'!$B$13:$G$15, 6, FALSE)</f>
        <v>11</v>
      </c>
      <c r="S37" s="18">
        <f t="shared" si="3"/>
        <v>28.8</v>
      </c>
      <c r="T37">
        <f>VLOOKUP(F37, 'Other Lists'!$B$13:$H$15, 7, FALSE) * M37</f>
        <v>26304</v>
      </c>
      <c r="U37">
        <f t="shared" si="4"/>
        <v>24940.799999999999</v>
      </c>
      <c r="V37">
        <f t="shared" si="5"/>
        <v>1363.2000000000007</v>
      </c>
      <c r="W37">
        <f t="shared" si="6"/>
        <v>1408</v>
      </c>
      <c r="X37">
        <v>5</v>
      </c>
      <c r="Y37">
        <v>0</v>
      </c>
      <c r="Z37">
        <v>4</v>
      </c>
      <c r="AA37">
        <f t="shared" si="7"/>
        <v>0</v>
      </c>
      <c r="AB37">
        <f>VLOOKUP($AB$6, 'Other Lists'!$B$27:$H$32, 7, FALSE) *Y37*8</f>
        <v>0</v>
      </c>
      <c r="AC37">
        <f>VLOOKUP($AC$6, 'Other Lists'!$B$27:$H$32, 7, FALSE) * Z37 * 8</f>
        <v>1123.2</v>
      </c>
      <c r="AD37">
        <f>VLOOKUP($AD$6, 'Other Lists'!$B$27:$H$32, 7, FALSE) * AA37 * 8</f>
        <v>0</v>
      </c>
      <c r="AE37">
        <f t="shared" si="8"/>
        <v>1360.8000000000002</v>
      </c>
      <c r="AF37" s="18">
        <f t="shared" si="9"/>
        <v>1.5713625866050811</v>
      </c>
      <c r="AH37">
        <v>105</v>
      </c>
      <c r="AI37">
        <v>166</v>
      </c>
      <c r="AJ37">
        <v>166</v>
      </c>
      <c r="AK37">
        <v>0</v>
      </c>
      <c r="AL37">
        <v>189</v>
      </c>
      <c r="AM37">
        <v>0</v>
      </c>
      <c r="AN37">
        <v>0</v>
      </c>
      <c r="AO37">
        <v>159</v>
      </c>
      <c r="AP37">
        <f t="shared" si="10"/>
        <v>0</v>
      </c>
      <c r="AQ37" s="17">
        <f t="shared" si="11"/>
        <v>0.95783132530120485</v>
      </c>
      <c r="AR37" s="18">
        <f>VLOOKUP($AH$8, 'Other Lists'!$B$13:$H$15, 7, FALSE)</f>
        <v>184</v>
      </c>
      <c r="AS37" s="18">
        <f>VLOOKUP($AH$8, 'Other Lists'!$B$13:$F$15, 5, FALSE)</f>
        <v>129</v>
      </c>
      <c r="AT37" s="18">
        <f>VLOOKUP($AH$8, 'Other Lists'!$B$13:$G$15, 6, FALSE)</f>
        <v>36</v>
      </c>
      <c r="AU37" s="18">
        <f t="shared" si="12"/>
        <v>165</v>
      </c>
      <c r="AV37" s="18">
        <f>VLOOKUP($AH$84, 'Other Lists'!$B$13:$H$15, 7, FALSE) *AO37</f>
        <v>29256</v>
      </c>
      <c r="AW37" s="18">
        <f t="shared" si="13"/>
        <v>27390</v>
      </c>
      <c r="AX37" s="18">
        <f t="shared" si="14"/>
        <v>1866</v>
      </c>
      <c r="AY37" s="18">
        <f t="shared" si="15"/>
        <v>1288</v>
      </c>
      <c r="AZ37">
        <v>7</v>
      </c>
      <c r="BA37">
        <v>7</v>
      </c>
      <c r="BB37">
        <v>1</v>
      </c>
      <c r="BC37">
        <v>4</v>
      </c>
      <c r="BD37">
        <f t="shared" si="16"/>
        <v>0</v>
      </c>
      <c r="BE37">
        <f>VLOOKUP($BE$6, 'Other Lists'!$B$27:$H$32, 7, FALSE) *BB37*8</f>
        <v>194.4</v>
      </c>
      <c r="BF37">
        <f>VLOOKUP($BF$6, 'Other Lists'!$B$27:$H$32, 7, FALSE) * BC37 * 8</f>
        <v>1123.2</v>
      </c>
      <c r="BG37">
        <f>VLOOKUP($BG$6, 'Other Lists'!$B$27:$H$32, 7, FALSE) * BD37 * 8</f>
        <v>0</v>
      </c>
      <c r="BH37">
        <f t="shared" si="17"/>
        <v>1641.6</v>
      </c>
      <c r="BI37">
        <f t="shared" si="18"/>
        <v>9.8891566265060238</v>
      </c>
      <c r="BK37">
        <v>2</v>
      </c>
      <c r="BL37">
        <v>2</v>
      </c>
      <c r="BM37">
        <f>VLOOKUP($BM$6, 'Other Lists'!$B$27:$H$32, 7, FALSE) * BK37 * 8</f>
        <v>648</v>
      </c>
      <c r="BN37">
        <f>VLOOKUP($BN$6, 'Other Lists'!$B$27:$H$32, 7, FALSE) * BL37 * 8</f>
        <v>648</v>
      </c>
      <c r="BO37">
        <f t="shared" si="19"/>
        <v>2937.6</v>
      </c>
    </row>
    <row r="38" spans="2:67">
      <c r="B38">
        <v>190</v>
      </c>
      <c r="C38" s="15">
        <v>45324</v>
      </c>
      <c r="D38">
        <f t="shared" si="0"/>
        <v>6</v>
      </c>
      <c r="E38">
        <v>2</v>
      </c>
      <c r="F38">
        <v>201</v>
      </c>
      <c r="G38">
        <v>413</v>
      </c>
      <c r="H38">
        <v>350</v>
      </c>
      <c r="I38">
        <v>0</v>
      </c>
      <c r="J38">
        <v>350</v>
      </c>
      <c r="K38">
        <v>63</v>
      </c>
      <c r="L38">
        <v>0</v>
      </c>
      <c r="M38">
        <v>332</v>
      </c>
      <c r="N38">
        <f t="shared" si="1"/>
        <v>63</v>
      </c>
      <c r="O38" s="17">
        <f t="shared" si="2"/>
        <v>0.94857142857142862</v>
      </c>
      <c r="P38" s="19">
        <f>VLOOKUP(F38, 'Other Lists'!$B$13:$H$154, 7, FALSE)</f>
        <v>71</v>
      </c>
      <c r="Q38" s="18">
        <f>VLOOKUP(F38, 'Other Lists'!$B$13:$F$15, 5, FALSE)</f>
        <v>32.6</v>
      </c>
      <c r="R38" s="18">
        <f>VLOOKUP(F38, 'Other Lists'!$B$13:$G$15, 6, FALSE)</f>
        <v>16.5</v>
      </c>
      <c r="S38" s="18">
        <f t="shared" si="3"/>
        <v>49.1</v>
      </c>
      <c r="T38">
        <f>VLOOKUP(F38, 'Other Lists'!$B$13:$H$15, 7, FALSE) * M38</f>
        <v>23572</v>
      </c>
      <c r="U38">
        <f t="shared" si="4"/>
        <v>17185</v>
      </c>
      <c r="V38">
        <f t="shared" si="5"/>
        <v>6387</v>
      </c>
      <c r="W38">
        <f t="shared" si="6"/>
        <v>1278</v>
      </c>
      <c r="X38">
        <v>5</v>
      </c>
      <c r="Y38">
        <v>0</v>
      </c>
      <c r="Z38">
        <v>4</v>
      </c>
      <c r="AA38">
        <f t="shared" si="7"/>
        <v>0</v>
      </c>
      <c r="AB38">
        <f>VLOOKUP($AB$6, 'Other Lists'!$B$27:$H$32, 7, FALSE) *Y38*8</f>
        <v>0</v>
      </c>
      <c r="AC38">
        <f>VLOOKUP($AC$6, 'Other Lists'!$B$27:$H$32, 7, FALSE) * Z38 * 8</f>
        <v>1123.2</v>
      </c>
      <c r="AD38">
        <f>VLOOKUP($AD$6, 'Other Lists'!$B$27:$H$32, 7, FALSE) * AA38 * 8</f>
        <v>0</v>
      </c>
      <c r="AE38">
        <f t="shared" si="8"/>
        <v>1360.8000000000002</v>
      </c>
      <c r="AF38" s="18">
        <f t="shared" si="9"/>
        <v>3.8880000000000003</v>
      </c>
      <c r="AH38">
        <v>105</v>
      </c>
      <c r="AI38">
        <v>207</v>
      </c>
      <c r="AJ38">
        <v>190</v>
      </c>
      <c r="AK38">
        <v>0</v>
      </c>
      <c r="AL38">
        <v>189</v>
      </c>
      <c r="AM38">
        <v>17</v>
      </c>
      <c r="AN38">
        <v>0</v>
      </c>
      <c r="AO38">
        <v>176</v>
      </c>
      <c r="AP38">
        <f t="shared" si="10"/>
        <v>17</v>
      </c>
      <c r="AQ38" s="17">
        <f t="shared" si="11"/>
        <v>0.9263157894736842</v>
      </c>
      <c r="AR38" s="18">
        <f>VLOOKUP($AH$8, 'Other Lists'!$B$13:$H$15, 7, FALSE)</f>
        <v>184</v>
      </c>
      <c r="AS38" s="18">
        <f>VLOOKUP($AH$8, 'Other Lists'!$B$13:$F$15, 5, FALSE)</f>
        <v>129</v>
      </c>
      <c r="AT38" s="18">
        <f>VLOOKUP($AH$8, 'Other Lists'!$B$13:$G$15, 6, FALSE)</f>
        <v>36</v>
      </c>
      <c r="AU38" s="18">
        <f t="shared" si="12"/>
        <v>165</v>
      </c>
      <c r="AV38" s="18">
        <f>VLOOKUP($AH$84, 'Other Lists'!$B$13:$H$15, 7, FALSE) *AO38</f>
        <v>32384</v>
      </c>
      <c r="AW38" s="18">
        <f t="shared" si="13"/>
        <v>31350</v>
      </c>
      <c r="AX38" s="18">
        <f t="shared" si="14"/>
        <v>1034</v>
      </c>
      <c r="AY38" s="18">
        <f t="shared" si="15"/>
        <v>2576</v>
      </c>
      <c r="AZ38">
        <v>7</v>
      </c>
      <c r="BA38">
        <v>7</v>
      </c>
      <c r="BB38">
        <v>0</v>
      </c>
      <c r="BC38">
        <v>4</v>
      </c>
      <c r="BD38">
        <f t="shared" si="16"/>
        <v>1</v>
      </c>
      <c r="BE38">
        <f>VLOOKUP($BE$6, 'Other Lists'!$B$27:$H$32, 7, FALSE) *BB38*8</f>
        <v>0</v>
      </c>
      <c r="BF38">
        <f>VLOOKUP($BF$6, 'Other Lists'!$B$27:$H$32, 7, FALSE) * BC38 * 8</f>
        <v>1123.2</v>
      </c>
      <c r="BG38">
        <f>VLOOKUP($BG$6, 'Other Lists'!$B$27:$H$32, 7, FALSE) * BD38 * 8</f>
        <v>259.2</v>
      </c>
      <c r="BH38">
        <f t="shared" si="17"/>
        <v>1641.6</v>
      </c>
      <c r="BI38">
        <f t="shared" si="18"/>
        <v>8.6399999999999988</v>
      </c>
      <c r="BK38">
        <v>2</v>
      </c>
      <c r="BL38">
        <v>2</v>
      </c>
      <c r="BM38">
        <f>VLOOKUP($BM$6, 'Other Lists'!$B$27:$H$32, 7, FALSE) * BK38 * 8</f>
        <v>648</v>
      </c>
      <c r="BN38">
        <f>VLOOKUP($BN$6, 'Other Lists'!$B$27:$H$32, 7, FALSE) * BL38 * 8</f>
        <v>648</v>
      </c>
      <c r="BO38">
        <f t="shared" si="19"/>
        <v>2937.6</v>
      </c>
    </row>
    <row r="39" spans="2:67">
      <c r="B39">
        <v>191</v>
      </c>
      <c r="C39" s="15">
        <v>45325</v>
      </c>
      <c r="D39">
        <f t="shared" si="0"/>
        <v>7</v>
      </c>
      <c r="E39">
        <v>2</v>
      </c>
      <c r="F39">
        <v>201</v>
      </c>
      <c r="G39">
        <v>290</v>
      </c>
      <c r="H39">
        <v>290</v>
      </c>
      <c r="I39">
        <v>0</v>
      </c>
      <c r="J39">
        <v>350</v>
      </c>
      <c r="K39">
        <v>0</v>
      </c>
      <c r="L39">
        <v>0</v>
      </c>
      <c r="M39">
        <v>269</v>
      </c>
      <c r="N39">
        <f t="shared" si="1"/>
        <v>0</v>
      </c>
      <c r="O39" s="17">
        <f t="shared" si="2"/>
        <v>0.92758620689655169</v>
      </c>
      <c r="P39" s="19">
        <f>VLOOKUP(F39, 'Other Lists'!$B$13:$H$154, 7, FALSE)</f>
        <v>71</v>
      </c>
      <c r="Q39" s="18">
        <f>VLOOKUP(F39, 'Other Lists'!$B$13:$F$15, 5, FALSE)</f>
        <v>32.6</v>
      </c>
      <c r="R39" s="18">
        <f>VLOOKUP(F39, 'Other Lists'!$B$13:$G$15, 6, FALSE)</f>
        <v>16.5</v>
      </c>
      <c r="S39" s="18">
        <f t="shared" si="3"/>
        <v>49.1</v>
      </c>
      <c r="T39">
        <f>VLOOKUP(F39, 'Other Lists'!$B$13:$H$15, 7, FALSE) * M39</f>
        <v>19099</v>
      </c>
      <c r="U39">
        <f t="shared" si="4"/>
        <v>14239</v>
      </c>
      <c r="V39">
        <f t="shared" si="5"/>
        <v>4860</v>
      </c>
      <c r="W39">
        <f t="shared" si="6"/>
        <v>1491</v>
      </c>
      <c r="X39">
        <v>5</v>
      </c>
      <c r="Y39">
        <v>0</v>
      </c>
      <c r="Z39">
        <v>4</v>
      </c>
      <c r="AA39">
        <f t="shared" si="7"/>
        <v>0</v>
      </c>
      <c r="AB39">
        <f>VLOOKUP($AB$6, 'Other Lists'!$B$27:$H$32, 7, FALSE) *Y39*8</f>
        <v>0</v>
      </c>
      <c r="AC39">
        <f>VLOOKUP($AC$6, 'Other Lists'!$B$27:$H$32, 7, FALSE) * Z39 * 8</f>
        <v>1123.2</v>
      </c>
      <c r="AD39">
        <f>VLOOKUP($AD$6, 'Other Lists'!$B$27:$H$32, 7, FALSE) * AA39 * 8</f>
        <v>0</v>
      </c>
      <c r="AE39">
        <f t="shared" si="8"/>
        <v>1360.8000000000002</v>
      </c>
      <c r="AF39" s="18">
        <f t="shared" si="9"/>
        <v>4.6924137931034489</v>
      </c>
      <c r="AH39">
        <v>105</v>
      </c>
      <c r="AI39">
        <v>151</v>
      </c>
      <c r="AJ39">
        <v>151</v>
      </c>
      <c r="AK39">
        <v>0</v>
      </c>
      <c r="AL39">
        <v>189</v>
      </c>
      <c r="AM39">
        <v>0</v>
      </c>
      <c r="AN39">
        <v>0</v>
      </c>
      <c r="AO39">
        <v>141</v>
      </c>
      <c r="AP39">
        <f t="shared" si="10"/>
        <v>0</v>
      </c>
      <c r="AQ39" s="17">
        <f t="shared" si="11"/>
        <v>0.93377483443708609</v>
      </c>
      <c r="AR39" s="18">
        <f>VLOOKUP($AH$8, 'Other Lists'!$B$13:$H$15, 7, FALSE)</f>
        <v>184</v>
      </c>
      <c r="AS39" s="18">
        <f>VLOOKUP($AH$8, 'Other Lists'!$B$13:$F$15, 5, FALSE)</f>
        <v>129</v>
      </c>
      <c r="AT39" s="18">
        <f>VLOOKUP($AH$8, 'Other Lists'!$B$13:$G$15, 6, FALSE)</f>
        <v>36</v>
      </c>
      <c r="AU39" s="18">
        <f t="shared" si="12"/>
        <v>165</v>
      </c>
      <c r="AV39" s="18">
        <f>VLOOKUP($AH$84, 'Other Lists'!$B$13:$H$15, 7, FALSE) *AO39</f>
        <v>25944</v>
      </c>
      <c r="AW39" s="18">
        <f t="shared" si="13"/>
        <v>24915</v>
      </c>
      <c r="AX39" s="18">
        <f t="shared" si="14"/>
        <v>1029</v>
      </c>
      <c r="AY39" s="18">
        <f t="shared" si="15"/>
        <v>1840</v>
      </c>
      <c r="AZ39">
        <v>7</v>
      </c>
      <c r="BA39">
        <v>6</v>
      </c>
      <c r="BB39">
        <v>0</v>
      </c>
      <c r="BC39">
        <v>4</v>
      </c>
      <c r="BD39">
        <f t="shared" si="16"/>
        <v>0</v>
      </c>
      <c r="BE39">
        <f>VLOOKUP($BE$6, 'Other Lists'!$B$27:$H$32, 7, FALSE) *BB39*8</f>
        <v>0</v>
      </c>
      <c r="BF39">
        <f>VLOOKUP($BF$6, 'Other Lists'!$B$27:$H$32, 7, FALSE) * BC39 * 8</f>
        <v>1123.2</v>
      </c>
      <c r="BG39">
        <f>VLOOKUP($BG$6, 'Other Lists'!$B$27:$H$32, 7, FALSE) * BD39 * 8</f>
        <v>0</v>
      </c>
      <c r="BH39">
        <f t="shared" si="17"/>
        <v>1641.6</v>
      </c>
      <c r="BI39">
        <f t="shared" si="18"/>
        <v>10.871523178807946</v>
      </c>
      <c r="BK39">
        <v>2</v>
      </c>
      <c r="BL39">
        <v>2</v>
      </c>
      <c r="BM39">
        <f>VLOOKUP($BM$6, 'Other Lists'!$B$27:$H$32, 7, FALSE) * BK39 * 8</f>
        <v>648</v>
      </c>
      <c r="BN39">
        <f>VLOOKUP($BN$6, 'Other Lists'!$B$27:$H$32, 7, FALSE) * BL39 * 8</f>
        <v>648</v>
      </c>
      <c r="BO39">
        <f t="shared" si="19"/>
        <v>2937.6</v>
      </c>
    </row>
    <row r="40" spans="2:67">
      <c r="B40">
        <v>192</v>
      </c>
      <c r="C40" s="15">
        <v>45326</v>
      </c>
      <c r="D40">
        <f t="shared" si="0"/>
        <v>1</v>
      </c>
      <c r="E40">
        <v>2</v>
      </c>
      <c r="F40">
        <v>119</v>
      </c>
      <c r="G40">
        <v>392</v>
      </c>
      <c r="H40">
        <v>350</v>
      </c>
      <c r="I40">
        <v>0</v>
      </c>
      <c r="J40">
        <v>349.99999999999994</v>
      </c>
      <c r="K40">
        <v>42</v>
      </c>
      <c r="L40">
        <v>0</v>
      </c>
      <c r="M40">
        <v>339</v>
      </c>
      <c r="N40">
        <f t="shared" si="1"/>
        <v>42</v>
      </c>
      <c r="O40" s="17">
        <f t="shared" si="2"/>
        <v>0.96857142857142853</v>
      </c>
      <c r="P40" s="19">
        <f>VLOOKUP(F40, 'Other Lists'!$B$13:$H$154, 7, FALSE)</f>
        <v>32</v>
      </c>
      <c r="Q40" s="18">
        <f>VLOOKUP(F40, 'Other Lists'!$B$13:$F$15, 5, FALSE)</f>
        <v>17.8</v>
      </c>
      <c r="R40" s="18">
        <f>VLOOKUP(F40, 'Other Lists'!$B$13:$G$15, 6, FALSE)</f>
        <v>11</v>
      </c>
      <c r="S40" s="18">
        <f t="shared" si="3"/>
        <v>28.8</v>
      </c>
      <c r="T40">
        <f>VLOOKUP(F40, 'Other Lists'!$B$13:$H$15, 7, FALSE) * M40</f>
        <v>10848</v>
      </c>
      <c r="U40">
        <f t="shared" si="4"/>
        <v>10080</v>
      </c>
      <c r="V40">
        <f t="shared" si="5"/>
        <v>768</v>
      </c>
      <c r="W40">
        <f t="shared" si="6"/>
        <v>352</v>
      </c>
      <c r="X40">
        <v>2</v>
      </c>
      <c r="Y40">
        <v>0</v>
      </c>
      <c r="Z40">
        <v>1</v>
      </c>
      <c r="AA40">
        <f t="shared" si="7"/>
        <v>0</v>
      </c>
      <c r="AB40">
        <f>VLOOKUP($AB$6, 'Other Lists'!$B$27:$H$32, 7, FALSE) *Y40*8</f>
        <v>0</v>
      </c>
      <c r="AC40">
        <f>VLOOKUP($AC$6, 'Other Lists'!$B$27:$H$32, 7, FALSE) * Z40 * 8</f>
        <v>280.8</v>
      </c>
      <c r="AD40">
        <f>VLOOKUP($AD$6, 'Other Lists'!$B$27:$H$32, 7, FALSE) * AA40 * 8</f>
        <v>0</v>
      </c>
      <c r="AE40">
        <f t="shared" si="8"/>
        <v>1360.8000000000002</v>
      </c>
      <c r="AF40" s="18">
        <f t="shared" si="9"/>
        <v>3.8880000000000003</v>
      </c>
      <c r="AH40">
        <v>105</v>
      </c>
      <c r="AI40">
        <v>76</v>
      </c>
      <c r="AJ40">
        <v>76</v>
      </c>
      <c r="AK40">
        <v>0</v>
      </c>
      <c r="AL40">
        <v>81</v>
      </c>
      <c r="AM40">
        <v>0</v>
      </c>
      <c r="AN40">
        <v>0</v>
      </c>
      <c r="AO40">
        <v>74</v>
      </c>
      <c r="AP40">
        <f t="shared" si="10"/>
        <v>0</v>
      </c>
      <c r="AQ40" s="17">
        <f t="shared" si="11"/>
        <v>0.97368421052631582</v>
      </c>
      <c r="AR40" s="18">
        <f>VLOOKUP($AH$8, 'Other Lists'!$B$13:$H$15, 7, FALSE)</f>
        <v>184</v>
      </c>
      <c r="AS40" s="18">
        <f>VLOOKUP($AH$8, 'Other Lists'!$B$13:$F$15, 5, FALSE)</f>
        <v>129</v>
      </c>
      <c r="AT40" s="18">
        <f>VLOOKUP($AH$8, 'Other Lists'!$B$13:$G$15, 6, FALSE)</f>
        <v>36</v>
      </c>
      <c r="AU40" s="18">
        <f t="shared" si="12"/>
        <v>165</v>
      </c>
      <c r="AV40" s="18">
        <f>VLOOKUP($AH$84, 'Other Lists'!$B$13:$H$15, 7, FALSE) *AO40</f>
        <v>13616</v>
      </c>
      <c r="AW40" s="18">
        <f t="shared" si="13"/>
        <v>12540</v>
      </c>
      <c r="AX40" s="18">
        <f t="shared" si="14"/>
        <v>1076</v>
      </c>
      <c r="AY40" s="18">
        <f t="shared" si="15"/>
        <v>368</v>
      </c>
      <c r="AZ40">
        <v>3</v>
      </c>
      <c r="BA40">
        <v>3</v>
      </c>
      <c r="BB40">
        <v>0</v>
      </c>
      <c r="BC40">
        <v>1</v>
      </c>
      <c r="BD40">
        <f t="shared" si="16"/>
        <v>1</v>
      </c>
      <c r="BE40">
        <f>VLOOKUP($BE$6, 'Other Lists'!$B$27:$H$32, 7, FALSE) *BB40*8</f>
        <v>0</v>
      </c>
      <c r="BF40">
        <f>VLOOKUP($BF$6, 'Other Lists'!$B$27:$H$32, 7, FALSE) * BC40 * 8</f>
        <v>280.8</v>
      </c>
      <c r="BG40">
        <f>VLOOKUP($BG$6, 'Other Lists'!$B$27:$H$32, 7, FALSE) * BD40 * 8</f>
        <v>259.2</v>
      </c>
      <c r="BH40">
        <f t="shared" si="17"/>
        <v>1641.6</v>
      </c>
      <c r="BI40">
        <f t="shared" si="18"/>
        <v>21.599999999999998</v>
      </c>
      <c r="BK40">
        <v>1</v>
      </c>
      <c r="BL40">
        <v>0</v>
      </c>
      <c r="BM40">
        <f>VLOOKUP($BM$6, 'Other Lists'!$B$27:$H$32, 7, FALSE) * BK40 * 8</f>
        <v>324</v>
      </c>
      <c r="BN40">
        <f>VLOOKUP($BN$6, 'Other Lists'!$B$27:$H$32, 7, FALSE) * BL40 * 8</f>
        <v>0</v>
      </c>
      <c r="BO40">
        <f t="shared" si="19"/>
        <v>1965.6</v>
      </c>
    </row>
    <row r="41" spans="2:67">
      <c r="B41">
        <v>193</v>
      </c>
      <c r="C41" s="15">
        <v>45327</v>
      </c>
      <c r="D41">
        <f t="shared" si="0"/>
        <v>2</v>
      </c>
      <c r="E41">
        <v>2</v>
      </c>
      <c r="F41">
        <v>119</v>
      </c>
      <c r="G41">
        <v>290</v>
      </c>
      <c r="H41">
        <v>290</v>
      </c>
      <c r="I41">
        <v>0</v>
      </c>
      <c r="J41">
        <v>349.99999999999994</v>
      </c>
      <c r="K41">
        <v>0</v>
      </c>
      <c r="L41">
        <v>0</v>
      </c>
      <c r="M41">
        <v>269</v>
      </c>
      <c r="N41">
        <f t="shared" si="1"/>
        <v>0</v>
      </c>
      <c r="O41" s="17">
        <f t="shared" si="2"/>
        <v>0.92758620689655169</v>
      </c>
      <c r="P41" s="19">
        <f>VLOOKUP(F41, 'Other Lists'!$B$13:$H$154, 7, FALSE)</f>
        <v>32</v>
      </c>
      <c r="Q41" s="18">
        <f>VLOOKUP(F41, 'Other Lists'!$B$13:$F$15, 5, FALSE)</f>
        <v>17.8</v>
      </c>
      <c r="R41" s="18">
        <f>VLOOKUP(F41, 'Other Lists'!$B$13:$G$15, 6, FALSE)</f>
        <v>11</v>
      </c>
      <c r="S41" s="18">
        <f t="shared" si="3"/>
        <v>28.8</v>
      </c>
      <c r="T41">
        <f>VLOOKUP(F41, 'Other Lists'!$B$13:$H$15, 7, FALSE) * M41</f>
        <v>8608</v>
      </c>
      <c r="U41">
        <f t="shared" si="4"/>
        <v>8352</v>
      </c>
      <c r="V41">
        <f t="shared" si="5"/>
        <v>256</v>
      </c>
      <c r="W41">
        <f t="shared" si="6"/>
        <v>672</v>
      </c>
      <c r="X41">
        <v>2</v>
      </c>
      <c r="Y41">
        <v>0</v>
      </c>
      <c r="Z41">
        <v>1</v>
      </c>
      <c r="AA41">
        <f t="shared" si="7"/>
        <v>0</v>
      </c>
      <c r="AB41">
        <f>VLOOKUP($AB$6, 'Other Lists'!$B$27:$H$32, 7, FALSE) *Y41*8</f>
        <v>0</v>
      </c>
      <c r="AC41">
        <f>VLOOKUP($AC$6, 'Other Lists'!$B$27:$H$32, 7, FALSE) * Z41 * 8</f>
        <v>280.8</v>
      </c>
      <c r="AD41">
        <f>VLOOKUP($AD$6, 'Other Lists'!$B$27:$H$32, 7, FALSE) * AA41 * 8</f>
        <v>0</v>
      </c>
      <c r="AE41">
        <f t="shared" si="8"/>
        <v>1360.8000000000002</v>
      </c>
      <c r="AF41" s="18">
        <f t="shared" si="9"/>
        <v>4.6924137931034489</v>
      </c>
      <c r="AH41">
        <v>105</v>
      </c>
      <c r="AI41">
        <v>80</v>
      </c>
      <c r="AJ41">
        <v>80</v>
      </c>
      <c r="AK41">
        <v>0</v>
      </c>
      <c r="AL41">
        <v>81</v>
      </c>
      <c r="AM41">
        <v>0</v>
      </c>
      <c r="AN41">
        <v>0</v>
      </c>
      <c r="AO41">
        <v>77</v>
      </c>
      <c r="AP41">
        <f t="shared" si="10"/>
        <v>0</v>
      </c>
      <c r="AQ41" s="17">
        <f t="shared" si="11"/>
        <v>0.96250000000000002</v>
      </c>
      <c r="AR41" s="18">
        <f>VLOOKUP($AH$8, 'Other Lists'!$B$13:$H$15, 7, FALSE)</f>
        <v>184</v>
      </c>
      <c r="AS41" s="18">
        <f>VLOOKUP($AH$8, 'Other Lists'!$B$13:$F$15, 5, FALSE)</f>
        <v>129</v>
      </c>
      <c r="AT41" s="18">
        <f>VLOOKUP($AH$8, 'Other Lists'!$B$13:$G$15, 6, FALSE)</f>
        <v>36</v>
      </c>
      <c r="AU41" s="18">
        <f t="shared" si="12"/>
        <v>165</v>
      </c>
      <c r="AV41" s="18">
        <f>VLOOKUP($AH$84, 'Other Lists'!$B$13:$H$15, 7, FALSE) *AO41</f>
        <v>14168</v>
      </c>
      <c r="AW41" s="18">
        <f t="shared" si="13"/>
        <v>13200</v>
      </c>
      <c r="AX41" s="18">
        <f t="shared" si="14"/>
        <v>968</v>
      </c>
      <c r="AY41" s="18">
        <f t="shared" si="15"/>
        <v>552</v>
      </c>
      <c r="AZ41">
        <v>3</v>
      </c>
      <c r="BA41">
        <v>3</v>
      </c>
      <c r="BB41">
        <v>0</v>
      </c>
      <c r="BC41">
        <v>1</v>
      </c>
      <c r="BD41">
        <f t="shared" si="16"/>
        <v>1</v>
      </c>
      <c r="BE41">
        <f>VLOOKUP($BE$6, 'Other Lists'!$B$27:$H$32, 7, FALSE) *BB41*8</f>
        <v>0</v>
      </c>
      <c r="BF41">
        <f>VLOOKUP($BF$6, 'Other Lists'!$B$27:$H$32, 7, FALSE) * BC41 * 8</f>
        <v>280.8</v>
      </c>
      <c r="BG41">
        <f>VLOOKUP($BG$6, 'Other Lists'!$B$27:$H$32, 7, FALSE) * BD41 * 8</f>
        <v>259.2</v>
      </c>
      <c r="BH41">
        <f t="shared" si="17"/>
        <v>1641.6</v>
      </c>
      <c r="BI41">
        <f t="shared" si="18"/>
        <v>20.52</v>
      </c>
      <c r="BK41">
        <v>1</v>
      </c>
      <c r="BL41">
        <v>1</v>
      </c>
      <c r="BM41">
        <f>VLOOKUP($BM$6, 'Other Lists'!$B$27:$H$32, 7, FALSE) * BK41 * 8</f>
        <v>324</v>
      </c>
      <c r="BN41">
        <f>VLOOKUP($BN$6, 'Other Lists'!$B$27:$H$32, 7, FALSE) * BL41 * 8</f>
        <v>324</v>
      </c>
      <c r="BO41">
        <f t="shared" si="19"/>
        <v>2289.6</v>
      </c>
    </row>
    <row r="42" spans="2:67">
      <c r="B42">
        <v>194</v>
      </c>
      <c r="C42" s="15">
        <v>45328</v>
      </c>
      <c r="D42">
        <f t="shared" si="0"/>
        <v>3</v>
      </c>
      <c r="E42">
        <v>2</v>
      </c>
      <c r="F42">
        <v>201</v>
      </c>
      <c r="G42">
        <v>332</v>
      </c>
      <c r="H42">
        <v>322</v>
      </c>
      <c r="I42">
        <v>0</v>
      </c>
      <c r="J42">
        <v>350</v>
      </c>
      <c r="K42">
        <v>10</v>
      </c>
      <c r="L42">
        <v>0</v>
      </c>
      <c r="M42">
        <v>309</v>
      </c>
      <c r="N42">
        <f t="shared" si="1"/>
        <v>10</v>
      </c>
      <c r="O42" s="17">
        <f t="shared" si="2"/>
        <v>0.95962732919254656</v>
      </c>
      <c r="P42" s="19">
        <f>VLOOKUP(F42, 'Other Lists'!$B$13:$H$154, 7, FALSE)</f>
        <v>71</v>
      </c>
      <c r="Q42" s="18">
        <f>VLOOKUP(F42, 'Other Lists'!$B$13:$F$15, 5, FALSE)</f>
        <v>32.6</v>
      </c>
      <c r="R42" s="18">
        <f>VLOOKUP(F42, 'Other Lists'!$B$13:$G$15, 6, FALSE)</f>
        <v>16.5</v>
      </c>
      <c r="S42" s="18">
        <f t="shared" si="3"/>
        <v>49.1</v>
      </c>
      <c r="T42">
        <f>VLOOKUP(F42, 'Other Lists'!$B$13:$H$15, 7, FALSE) * M42</f>
        <v>21939</v>
      </c>
      <c r="U42">
        <f t="shared" si="4"/>
        <v>15810.2</v>
      </c>
      <c r="V42">
        <f t="shared" si="5"/>
        <v>6128.7999999999993</v>
      </c>
      <c r="W42">
        <f t="shared" si="6"/>
        <v>923</v>
      </c>
      <c r="X42">
        <v>5</v>
      </c>
      <c r="Y42">
        <v>1</v>
      </c>
      <c r="Z42">
        <v>3</v>
      </c>
      <c r="AA42">
        <f t="shared" si="7"/>
        <v>0</v>
      </c>
      <c r="AB42">
        <f>VLOOKUP($AB$6, 'Other Lists'!$B$27:$H$32, 7, FALSE) *Y42*8</f>
        <v>194.4</v>
      </c>
      <c r="AC42">
        <f>VLOOKUP($AC$6, 'Other Lists'!$B$27:$H$32, 7, FALSE) * Z42 * 8</f>
        <v>842.40000000000009</v>
      </c>
      <c r="AD42">
        <f>VLOOKUP($AD$6, 'Other Lists'!$B$27:$H$32, 7, FALSE) * AA42 * 8</f>
        <v>0</v>
      </c>
      <c r="AE42">
        <f t="shared" si="8"/>
        <v>1360.8000000000002</v>
      </c>
      <c r="AF42" s="18">
        <f t="shared" si="9"/>
        <v>4.2260869565217396</v>
      </c>
      <c r="AH42">
        <v>105</v>
      </c>
      <c r="AI42">
        <v>154</v>
      </c>
      <c r="AJ42">
        <v>154</v>
      </c>
      <c r="AK42">
        <v>0</v>
      </c>
      <c r="AL42">
        <v>189</v>
      </c>
      <c r="AM42">
        <v>0</v>
      </c>
      <c r="AN42">
        <v>0</v>
      </c>
      <c r="AO42">
        <v>147</v>
      </c>
      <c r="AP42">
        <f t="shared" si="10"/>
        <v>0</v>
      </c>
      <c r="AQ42" s="17">
        <f t="shared" si="11"/>
        <v>0.95454545454545459</v>
      </c>
      <c r="AR42" s="18">
        <f>VLOOKUP($AH$8, 'Other Lists'!$B$13:$H$15, 7, FALSE)</f>
        <v>184</v>
      </c>
      <c r="AS42" s="18">
        <f>VLOOKUP($AH$8, 'Other Lists'!$B$13:$F$15, 5, FALSE)</f>
        <v>129</v>
      </c>
      <c r="AT42" s="18">
        <f>VLOOKUP($AH$8, 'Other Lists'!$B$13:$G$15, 6, FALSE)</f>
        <v>36</v>
      </c>
      <c r="AU42" s="18">
        <f t="shared" si="12"/>
        <v>165</v>
      </c>
      <c r="AV42" s="18">
        <f>VLOOKUP($AH$84, 'Other Lists'!$B$13:$H$15, 7, FALSE) *AO42</f>
        <v>27048</v>
      </c>
      <c r="AW42" s="18">
        <f t="shared" si="13"/>
        <v>25410</v>
      </c>
      <c r="AX42" s="18">
        <f t="shared" si="14"/>
        <v>1638</v>
      </c>
      <c r="AY42" s="18">
        <f t="shared" si="15"/>
        <v>1288</v>
      </c>
      <c r="AZ42">
        <v>7</v>
      </c>
      <c r="BA42">
        <v>7</v>
      </c>
      <c r="BB42">
        <v>0</v>
      </c>
      <c r="BC42">
        <v>3</v>
      </c>
      <c r="BD42">
        <f t="shared" si="16"/>
        <v>2</v>
      </c>
      <c r="BE42">
        <f>VLOOKUP($BE$6, 'Other Lists'!$B$27:$H$32, 7, FALSE) *BB42*8</f>
        <v>0</v>
      </c>
      <c r="BF42">
        <f>VLOOKUP($BF$6, 'Other Lists'!$B$27:$H$32, 7, FALSE) * BC42 * 8</f>
        <v>842.40000000000009</v>
      </c>
      <c r="BG42">
        <f>VLOOKUP($BG$6, 'Other Lists'!$B$27:$H$32, 7, FALSE) * BD42 * 8</f>
        <v>518.4</v>
      </c>
      <c r="BH42">
        <f t="shared" si="17"/>
        <v>1641.6</v>
      </c>
      <c r="BI42">
        <f t="shared" si="18"/>
        <v>10.659740259740259</v>
      </c>
      <c r="BK42">
        <v>2</v>
      </c>
      <c r="BL42">
        <v>2</v>
      </c>
      <c r="BM42">
        <f>VLOOKUP($BM$6, 'Other Lists'!$B$27:$H$32, 7, FALSE) * BK42 * 8</f>
        <v>648</v>
      </c>
      <c r="BN42">
        <f>VLOOKUP($BN$6, 'Other Lists'!$B$27:$H$32, 7, FALSE) * BL42 * 8</f>
        <v>648</v>
      </c>
      <c r="BO42">
        <f t="shared" si="19"/>
        <v>2937.6</v>
      </c>
    </row>
    <row r="43" spans="2:67">
      <c r="B43">
        <v>195</v>
      </c>
      <c r="C43" s="15">
        <v>45329</v>
      </c>
      <c r="D43">
        <f t="shared" si="0"/>
        <v>4</v>
      </c>
      <c r="E43">
        <v>2</v>
      </c>
      <c r="F43">
        <v>201</v>
      </c>
      <c r="G43">
        <v>416</v>
      </c>
      <c r="H43">
        <v>315</v>
      </c>
      <c r="I43">
        <v>0</v>
      </c>
      <c r="J43">
        <v>350</v>
      </c>
      <c r="K43">
        <v>101</v>
      </c>
      <c r="L43">
        <v>0</v>
      </c>
      <c r="M43">
        <v>302</v>
      </c>
      <c r="N43">
        <f t="shared" si="1"/>
        <v>101</v>
      </c>
      <c r="O43" s="17">
        <f t="shared" si="2"/>
        <v>0.95873015873015877</v>
      </c>
      <c r="P43" s="19">
        <f>VLOOKUP(F43, 'Other Lists'!$B$13:$H$154, 7, FALSE)</f>
        <v>71</v>
      </c>
      <c r="Q43" s="18">
        <f>VLOOKUP(F43, 'Other Lists'!$B$13:$F$15, 5, FALSE)</f>
        <v>32.6</v>
      </c>
      <c r="R43" s="18">
        <f>VLOOKUP(F43, 'Other Lists'!$B$13:$G$15, 6, FALSE)</f>
        <v>16.5</v>
      </c>
      <c r="S43" s="18">
        <f t="shared" si="3"/>
        <v>49.1</v>
      </c>
      <c r="T43">
        <f>VLOOKUP(F43, 'Other Lists'!$B$13:$H$15, 7, FALSE) * M43</f>
        <v>21442</v>
      </c>
      <c r="U43">
        <f t="shared" si="4"/>
        <v>15466.5</v>
      </c>
      <c r="V43">
        <f t="shared" si="5"/>
        <v>5975.5</v>
      </c>
      <c r="W43">
        <f t="shared" si="6"/>
        <v>923</v>
      </c>
      <c r="X43">
        <v>5</v>
      </c>
      <c r="Y43">
        <v>1</v>
      </c>
      <c r="Z43">
        <v>3</v>
      </c>
      <c r="AA43">
        <f t="shared" si="7"/>
        <v>0</v>
      </c>
      <c r="AB43">
        <f>VLOOKUP($AB$6, 'Other Lists'!$B$27:$H$32, 7, FALSE) *Y43*8</f>
        <v>194.4</v>
      </c>
      <c r="AC43">
        <f>VLOOKUP($AC$6, 'Other Lists'!$B$27:$H$32, 7, FALSE) * Z43 * 8</f>
        <v>842.40000000000009</v>
      </c>
      <c r="AD43">
        <f>VLOOKUP($AD$6, 'Other Lists'!$B$27:$H$32, 7, FALSE) * AA43 * 8</f>
        <v>0</v>
      </c>
      <c r="AE43">
        <f t="shared" si="8"/>
        <v>1360.8000000000002</v>
      </c>
      <c r="AF43" s="18">
        <f t="shared" si="9"/>
        <v>4.32</v>
      </c>
      <c r="AH43">
        <v>105</v>
      </c>
      <c r="AI43">
        <v>207</v>
      </c>
      <c r="AJ43">
        <v>162</v>
      </c>
      <c r="AK43">
        <v>0</v>
      </c>
      <c r="AL43">
        <v>189</v>
      </c>
      <c r="AM43">
        <v>45</v>
      </c>
      <c r="AN43">
        <v>0</v>
      </c>
      <c r="AO43">
        <v>153</v>
      </c>
      <c r="AP43">
        <f t="shared" si="10"/>
        <v>45</v>
      </c>
      <c r="AQ43" s="17">
        <f t="shared" si="11"/>
        <v>0.94444444444444442</v>
      </c>
      <c r="AR43" s="18">
        <f>VLOOKUP($AH$8, 'Other Lists'!$B$13:$H$15, 7, FALSE)</f>
        <v>184</v>
      </c>
      <c r="AS43" s="18">
        <f>VLOOKUP($AH$8, 'Other Lists'!$B$13:$F$15, 5, FALSE)</f>
        <v>129</v>
      </c>
      <c r="AT43" s="18">
        <f>VLOOKUP($AH$8, 'Other Lists'!$B$13:$G$15, 6, FALSE)</f>
        <v>36</v>
      </c>
      <c r="AU43" s="18">
        <f t="shared" si="12"/>
        <v>165</v>
      </c>
      <c r="AV43" s="18">
        <f>VLOOKUP($AH$84, 'Other Lists'!$B$13:$H$15, 7, FALSE) *AO43</f>
        <v>28152</v>
      </c>
      <c r="AW43" s="18">
        <f t="shared" si="13"/>
        <v>26730</v>
      </c>
      <c r="AX43" s="18">
        <f t="shared" si="14"/>
        <v>1422</v>
      </c>
      <c r="AY43" s="18">
        <f t="shared" si="15"/>
        <v>1656</v>
      </c>
      <c r="AZ43">
        <v>7</v>
      </c>
      <c r="BA43">
        <v>6</v>
      </c>
      <c r="BB43">
        <v>0</v>
      </c>
      <c r="BC43">
        <v>4</v>
      </c>
      <c r="BD43">
        <f t="shared" si="16"/>
        <v>0</v>
      </c>
      <c r="BE43">
        <f>VLOOKUP($BE$6, 'Other Lists'!$B$27:$H$32, 7, FALSE) *BB43*8</f>
        <v>0</v>
      </c>
      <c r="BF43">
        <f>VLOOKUP($BF$6, 'Other Lists'!$B$27:$H$32, 7, FALSE) * BC43 * 8</f>
        <v>1123.2</v>
      </c>
      <c r="BG43">
        <f>VLOOKUP($BG$6, 'Other Lists'!$B$27:$H$32, 7, FALSE) * BD43 * 8</f>
        <v>0</v>
      </c>
      <c r="BH43">
        <f t="shared" si="17"/>
        <v>1641.6</v>
      </c>
      <c r="BI43">
        <f t="shared" si="18"/>
        <v>10.133333333333333</v>
      </c>
      <c r="BK43">
        <v>2</v>
      </c>
      <c r="BL43">
        <v>2</v>
      </c>
      <c r="BM43">
        <f>VLOOKUP($BM$6, 'Other Lists'!$B$27:$H$32, 7, FALSE) * BK43 * 8</f>
        <v>648</v>
      </c>
      <c r="BN43">
        <f>VLOOKUP($BN$6, 'Other Lists'!$B$27:$H$32, 7, FALSE) * BL43 * 8</f>
        <v>648</v>
      </c>
      <c r="BO43">
        <f t="shared" si="19"/>
        <v>2937.6</v>
      </c>
    </row>
    <row r="44" spans="2:67">
      <c r="B44">
        <v>196</v>
      </c>
      <c r="C44" s="15">
        <v>45330</v>
      </c>
      <c r="D44">
        <f t="shared" si="0"/>
        <v>5</v>
      </c>
      <c r="E44">
        <v>2</v>
      </c>
      <c r="F44">
        <v>119</v>
      </c>
      <c r="G44">
        <v>883</v>
      </c>
      <c r="H44">
        <v>883</v>
      </c>
      <c r="I44">
        <v>0</v>
      </c>
      <c r="J44">
        <v>874.99999999999989</v>
      </c>
      <c r="K44">
        <v>0</v>
      </c>
      <c r="L44">
        <v>0</v>
      </c>
      <c r="M44">
        <v>830</v>
      </c>
      <c r="N44">
        <f t="shared" si="1"/>
        <v>0</v>
      </c>
      <c r="O44" s="17">
        <f t="shared" si="2"/>
        <v>0.9399773499433749</v>
      </c>
      <c r="P44" s="19">
        <f>VLOOKUP(F44, 'Other Lists'!$B$13:$H$154, 7, FALSE)</f>
        <v>32</v>
      </c>
      <c r="Q44" s="18">
        <f>VLOOKUP(F44, 'Other Lists'!$B$13:$F$15, 5, FALSE)</f>
        <v>17.8</v>
      </c>
      <c r="R44" s="18">
        <f>VLOOKUP(F44, 'Other Lists'!$B$13:$G$15, 6, FALSE)</f>
        <v>11</v>
      </c>
      <c r="S44" s="18">
        <f t="shared" si="3"/>
        <v>28.8</v>
      </c>
      <c r="T44">
        <f>VLOOKUP(F44, 'Other Lists'!$B$13:$H$15, 7, FALSE) * M44</f>
        <v>26560</v>
      </c>
      <c r="U44">
        <f t="shared" si="4"/>
        <v>25430.400000000001</v>
      </c>
      <c r="V44">
        <f t="shared" si="5"/>
        <v>1129.5999999999985</v>
      </c>
      <c r="W44">
        <f t="shared" si="6"/>
        <v>1696</v>
      </c>
      <c r="X44">
        <v>5</v>
      </c>
      <c r="Y44">
        <v>0</v>
      </c>
      <c r="Z44">
        <v>3</v>
      </c>
      <c r="AA44">
        <f t="shared" si="7"/>
        <v>1</v>
      </c>
      <c r="AB44">
        <f>VLOOKUP($AB$6, 'Other Lists'!$B$27:$H$32, 7, FALSE) *Y44*8</f>
        <v>0</v>
      </c>
      <c r="AC44">
        <f>VLOOKUP($AC$6, 'Other Lists'!$B$27:$H$32, 7, FALSE) * Z44 * 8</f>
        <v>842.40000000000009</v>
      </c>
      <c r="AD44">
        <f>VLOOKUP($AD$6, 'Other Lists'!$B$27:$H$32, 7, FALSE) * AA44 * 8</f>
        <v>259.2</v>
      </c>
      <c r="AE44">
        <f t="shared" si="8"/>
        <v>1360.8000000000002</v>
      </c>
      <c r="AF44" s="18">
        <f t="shared" si="9"/>
        <v>1.5411098527746321</v>
      </c>
      <c r="AH44">
        <v>105</v>
      </c>
      <c r="AI44">
        <v>198</v>
      </c>
      <c r="AJ44">
        <v>179</v>
      </c>
      <c r="AK44">
        <v>0</v>
      </c>
      <c r="AL44">
        <v>189</v>
      </c>
      <c r="AM44">
        <v>19</v>
      </c>
      <c r="AN44">
        <v>0</v>
      </c>
      <c r="AO44">
        <v>166</v>
      </c>
      <c r="AP44">
        <f t="shared" si="10"/>
        <v>19</v>
      </c>
      <c r="AQ44" s="17">
        <f t="shared" si="11"/>
        <v>0.92737430167597767</v>
      </c>
      <c r="AR44" s="18">
        <f>VLOOKUP($AH$8, 'Other Lists'!$B$13:$H$15, 7, FALSE)</f>
        <v>184</v>
      </c>
      <c r="AS44" s="18">
        <f>VLOOKUP($AH$8, 'Other Lists'!$B$13:$F$15, 5, FALSE)</f>
        <v>129</v>
      </c>
      <c r="AT44" s="18">
        <f>VLOOKUP($AH$8, 'Other Lists'!$B$13:$G$15, 6, FALSE)</f>
        <v>36</v>
      </c>
      <c r="AU44" s="18">
        <f t="shared" si="12"/>
        <v>165</v>
      </c>
      <c r="AV44" s="18">
        <f>VLOOKUP($AH$84, 'Other Lists'!$B$13:$H$15, 7, FALSE) *AO44</f>
        <v>30544</v>
      </c>
      <c r="AW44" s="18">
        <f t="shared" si="13"/>
        <v>29535</v>
      </c>
      <c r="AX44" s="18">
        <f t="shared" si="14"/>
        <v>1009</v>
      </c>
      <c r="AY44" s="18">
        <f t="shared" si="15"/>
        <v>2392</v>
      </c>
      <c r="AZ44">
        <v>7</v>
      </c>
      <c r="BA44">
        <v>7</v>
      </c>
      <c r="BB44">
        <v>1</v>
      </c>
      <c r="BC44">
        <v>3</v>
      </c>
      <c r="BD44">
        <f t="shared" si="16"/>
        <v>1</v>
      </c>
      <c r="BE44">
        <f>VLOOKUP($BE$6, 'Other Lists'!$B$27:$H$32, 7, FALSE) *BB44*8</f>
        <v>194.4</v>
      </c>
      <c r="BF44">
        <f>VLOOKUP($BF$6, 'Other Lists'!$B$27:$H$32, 7, FALSE) * BC44 * 8</f>
        <v>842.40000000000009</v>
      </c>
      <c r="BG44">
        <f>VLOOKUP($BG$6, 'Other Lists'!$B$27:$H$32, 7, FALSE) * BD44 * 8</f>
        <v>259.2</v>
      </c>
      <c r="BH44">
        <f t="shared" si="17"/>
        <v>1641.6</v>
      </c>
      <c r="BI44">
        <f t="shared" si="18"/>
        <v>9.1709497206703912</v>
      </c>
      <c r="BK44">
        <v>2</v>
      </c>
      <c r="BL44">
        <v>2</v>
      </c>
      <c r="BM44">
        <f>VLOOKUP($BM$6, 'Other Lists'!$B$27:$H$32, 7, FALSE) * BK44 * 8</f>
        <v>648</v>
      </c>
      <c r="BN44">
        <f>VLOOKUP($BN$6, 'Other Lists'!$B$27:$H$32, 7, FALSE) * BL44 * 8</f>
        <v>648</v>
      </c>
      <c r="BO44">
        <f t="shared" si="19"/>
        <v>2937.6</v>
      </c>
    </row>
    <row r="45" spans="2:67">
      <c r="B45">
        <v>197</v>
      </c>
      <c r="C45" s="15">
        <v>45331</v>
      </c>
      <c r="D45">
        <f t="shared" si="0"/>
        <v>6</v>
      </c>
      <c r="E45">
        <v>2</v>
      </c>
      <c r="F45">
        <v>201</v>
      </c>
      <c r="G45">
        <v>287</v>
      </c>
      <c r="H45">
        <v>287</v>
      </c>
      <c r="I45">
        <v>0</v>
      </c>
      <c r="J45">
        <v>350</v>
      </c>
      <c r="K45">
        <v>0</v>
      </c>
      <c r="L45">
        <v>0</v>
      </c>
      <c r="M45">
        <v>272</v>
      </c>
      <c r="N45">
        <f t="shared" si="1"/>
        <v>0</v>
      </c>
      <c r="O45" s="17">
        <f t="shared" si="2"/>
        <v>0.94773519163763065</v>
      </c>
      <c r="P45" s="19">
        <f>VLOOKUP(F45, 'Other Lists'!$B$13:$H$154, 7, FALSE)</f>
        <v>71</v>
      </c>
      <c r="Q45" s="18">
        <f>VLOOKUP(F45, 'Other Lists'!$B$13:$F$15, 5, FALSE)</f>
        <v>32.6</v>
      </c>
      <c r="R45" s="18">
        <f>VLOOKUP(F45, 'Other Lists'!$B$13:$G$15, 6, FALSE)</f>
        <v>16.5</v>
      </c>
      <c r="S45" s="18">
        <f t="shared" si="3"/>
        <v>49.1</v>
      </c>
      <c r="T45">
        <f>VLOOKUP(F45, 'Other Lists'!$B$13:$H$15, 7, FALSE) * M45</f>
        <v>19312</v>
      </c>
      <c r="U45">
        <f t="shared" si="4"/>
        <v>14091.7</v>
      </c>
      <c r="V45">
        <f t="shared" si="5"/>
        <v>5220.2999999999993</v>
      </c>
      <c r="W45">
        <f t="shared" si="6"/>
        <v>1065</v>
      </c>
      <c r="X45">
        <v>5</v>
      </c>
      <c r="Y45">
        <v>0</v>
      </c>
      <c r="Z45">
        <v>3</v>
      </c>
      <c r="AA45">
        <f t="shared" si="7"/>
        <v>1</v>
      </c>
      <c r="AB45">
        <f>VLOOKUP($AB$6, 'Other Lists'!$B$27:$H$32, 7, FALSE) *Y45*8</f>
        <v>0</v>
      </c>
      <c r="AC45">
        <f>VLOOKUP($AC$6, 'Other Lists'!$B$27:$H$32, 7, FALSE) * Z45 * 8</f>
        <v>842.40000000000009</v>
      </c>
      <c r="AD45">
        <f>VLOOKUP($AD$6, 'Other Lists'!$B$27:$H$32, 7, FALSE) * AA45 * 8</f>
        <v>259.2</v>
      </c>
      <c r="AE45">
        <f t="shared" si="8"/>
        <v>1360.8000000000002</v>
      </c>
      <c r="AF45" s="18">
        <f t="shared" si="9"/>
        <v>4.741463414634147</v>
      </c>
      <c r="AH45">
        <v>105</v>
      </c>
      <c r="AI45">
        <v>211</v>
      </c>
      <c r="AJ45">
        <v>183</v>
      </c>
      <c r="AK45">
        <v>0</v>
      </c>
      <c r="AL45">
        <v>189</v>
      </c>
      <c r="AM45">
        <v>28</v>
      </c>
      <c r="AN45">
        <v>0</v>
      </c>
      <c r="AO45">
        <v>170</v>
      </c>
      <c r="AP45">
        <f t="shared" si="10"/>
        <v>28</v>
      </c>
      <c r="AQ45" s="17">
        <f t="shared" si="11"/>
        <v>0.92896174863387981</v>
      </c>
      <c r="AR45" s="18">
        <f>VLOOKUP($AH$8, 'Other Lists'!$B$13:$H$15, 7, FALSE)</f>
        <v>184</v>
      </c>
      <c r="AS45" s="18">
        <f>VLOOKUP($AH$8, 'Other Lists'!$B$13:$F$15, 5, FALSE)</f>
        <v>129</v>
      </c>
      <c r="AT45" s="18">
        <f>VLOOKUP($AH$8, 'Other Lists'!$B$13:$G$15, 6, FALSE)</f>
        <v>36</v>
      </c>
      <c r="AU45" s="18">
        <f t="shared" si="12"/>
        <v>165</v>
      </c>
      <c r="AV45" s="18">
        <f>VLOOKUP($AH$84, 'Other Lists'!$B$13:$H$15, 7, FALSE) *AO45</f>
        <v>31280</v>
      </c>
      <c r="AW45" s="18">
        <f t="shared" si="13"/>
        <v>30195</v>
      </c>
      <c r="AX45" s="18">
        <f t="shared" si="14"/>
        <v>1085</v>
      </c>
      <c r="AY45" s="18">
        <f t="shared" si="15"/>
        <v>2392</v>
      </c>
      <c r="AZ45">
        <v>7</v>
      </c>
      <c r="BA45">
        <v>7</v>
      </c>
      <c r="BB45">
        <v>0</v>
      </c>
      <c r="BC45">
        <v>3</v>
      </c>
      <c r="BD45">
        <f t="shared" si="16"/>
        <v>2</v>
      </c>
      <c r="BE45">
        <f>VLOOKUP($BE$6, 'Other Lists'!$B$27:$H$32, 7, FALSE) *BB45*8</f>
        <v>0</v>
      </c>
      <c r="BF45">
        <f>VLOOKUP($BF$6, 'Other Lists'!$B$27:$H$32, 7, FALSE) * BC45 * 8</f>
        <v>842.40000000000009</v>
      </c>
      <c r="BG45">
        <f>VLOOKUP($BG$6, 'Other Lists'!$B$27:$H$32, 7, FALSE) * BD45 * 8</f>
        <v>518.4</v>
      </c>
      <c r="BH45">
        <f t="shared" si="17"/>
        <v>1641.6</v>
      </c>
      <c r="BI45">
        <f t="shared" si="18"/>
        <v>8.9704918032786889</v>
      </c>
      <c r="BK45">
        <v>2</v>
      </c>
      <c r="BL45">
        <v>2</v>
      </c>
      <c r="BM45">
        <f>VLOOKUP($BM$6, 'Other Lists'!$B$27:$H$32, 7, FALSE) * BK45 * 8</f>
        <v>648</v>
      </c>
      <c r="BN45">
        <f>VLOOKUP($BN$6, 'Other Lists'!$B$27:$H$32, 7, FALSE) * BL45 * 8</f>
        <v>648</v>
      </c>
      <c r="BO45">
        <f t="shared" si="19"/>
        <v>2937.6</v>
      </c>
    </row>
    <row r="46" spans="2:67">
      <c r="B46">
        <v>198</v>
      </c>
      <c r="C46" s="15">
        <v>45332</v>
      </c>
      <c r="D46">
        <f t="shared" si="0"/>
        <v>7</v>
      </c>
      <c r="E46">
        <v>2</v>
      </c>
      <c r="F46">
        <v>201</v>
      </c>
      <c r="G46">
        <v>367</v>
      </c>
      <c r="H46">
        <v>346</v>
      </c>
      <c r="I46">
        <v>0</v>
      </c>
      <c r="J46">
        <v>350</v>
      </c>
      <c r="K46">
        <v>21</v>
      </c>
      <c r="L46">
        <v>0</v>
      </c>
      <c r="M46">
        <v>325</v>
      </c>
      <c r="N46">
        <f t="shared" si="1"/>
        <v>21</v>
      </c>
      <c r="O46" s="17">
        <f t="shared" si="2"/>
        <v>0.93930635838150289</v>
      </c>
      <c r="P46" s="19">
        <f>VLOOKUP(F46, 'Other Lists'!$B$13:$H$154, 7, FALSE)</f>
        <v>71</v>
      </c>
      <c r="Q46" s="18">
        <f>VLOOKUP(F46, 'Other Lists'!$B$13:$F$15, 5, FALSE)</f>
        <v>32.6</v>
      </c>
      <c r="R46" s="18">
        <f>VLOOKUP(F46, 'Other Lists'!$B$13:$G$15, 6, FALSE)</f>
        <v>16.5</v>
      </c>
      <c r="S46" s="18">
        <f t="shared" si="3"/>
        <v>49.1</v>
      </c>
      <c r="T46">
        <f>VLOOKUP(F46, 'Other Lists'!$B$13:$H$15, 7, FALSE) * M46</f>
        <v>23075</v>
      </c>
      <c r="U46">
        <f t="shared" si="4"/>
        <v>16988.600000000002</v>
      </c>
      <c r="V46">
        <f t="shared" si="5"/>
        <v>6086.3999999999978</v>
      </c>
      <c r="W46">
        <f t="shared" si="6"/>
        <v>1491</v>
      </c>
      <c r="X46">
        <v>5</v>
      </c>
      <c r="Y46">
        <v>0</v>
      </c>
      <c r="Z46">
        <v>3</v>
      </c>
      <c r="AA46">
        <f t="shared" si="7"/>
        <v>1</v>
      </c>
      <c r="AB46">
        <f>VLOOKUP($AB$6, 'Other Lists'!$B$27:$H$32, 7, FALSE) *Y46*8</f>
        <v>0</v>
      </c>
      <c r="AC46">
        <f>VLOOKUP($AC$6, 'Other Lists'!$B$27:$H$32, 7, FALSE) * Z46 * 8</f>
        <v>842.40000000000009</v>
      </c>
      <c r="AD46">
        <f>VLOOKUP($AD$6, 'Other Lists'!$B$27:$H$32, 7, FALSE) * AA46 * 8</f>
        <v>259.2</v>
      </c>
      <c r="AE46">
        <f t="shared" si="8"/>
        <v>1360.8000000000002</v>
      </c>
      <c r="AF46" s="18">
        <f t="shared" si="9"/>
        <v>3.9329479768786131</v>
      </c>
      <c r="AH46">
        <v>105</v>
      </c>
      <c r="AI46">
        <v>181</v>
      </c>
      <c r="AJ46">
        <v>181</v>
      </c>
      <c r="AK46">
        <v>0</v>
      </c>
      <c r="AL46">
        <v>189</v>
      </c>
      <c r="AM46">
        <v>0</v>
      </c>
      <c r="AN46">
        <v>0</v>
      </c>
      <c r="AO46">
        <v>168</v>
      </c>
      <c r="AP46">
        <f t="shared" si="10"/>
        <v>0</v>
      </c>
      <c r="AQ46" s="17">
        <f t="shared" si="11"/>
        <v>0.92817679558011046</v>
      </c>
      <c r="AR46" s="18">
        <f>VLOOKUP($AH$8, 'Other Lists'!$B$13:$H$15, 7, FALSE)</f>
        <v>184</v>
      </c>
      <c r="AS46" s="18">
        <f>VLOOKUP($AH$8, 'Other Lists'!$B$13:$F$15, 5, FALSE)</f>
        <v>129</v>
      </c>
      <c r="AT46" s="18">
        <f>VLOOKUP($AH$8, 'Other Lists'!$B$13:$G$15, 6, FALSE)</f>
        <v>36</v>
      </c>
      <c r="AU46" s="18">
        <f t="shared" si="12"/>
        <v>165</v>
      </c>
      <c r="AV46" s="18">
        <f>VLOOKUP($AH$84, 'Other Lists'!$B$13:$H$15, 7, FALSE) *AO46</f>
        <v>30912</v>
      </c>
      <c r="AW46" s="18">
        <f t="shared" si="13"/>
        <v>29865</v>
      </c>
      <c r="AX46" s="18">
        <f t="shared" si="14"/>
        <v>1047</v>
      </c>
      <c r="AY46" s="18">
        <f t="shared" si="15"/>
        <v>2392</v>
      </c>
      <c r="AZ46">
        <v>7</v>
      </c>
      <c r="BA46">
        <v>7</v>
      </c>
      <c r="BB46">
        <v>1</v>
      </c>
      <c r="BC46">
        <v>4</v>
      </c>
      <c r="BD46">
        <f t="shared" si="16"/>
        <v>0</v>
      </c>
      <c r="BE46">
        <f>VLOOKUP($BE$6, 'Other Lists'!$B$27:$H$32, 7, FALSE) *BB46*8</f>
        <v>194.4</v>
      </c>
      <c r="BF46">
        <f>VLOOKUP($BF$6, 'Other Lists'!$B$27:$H$32, 7, FALSE) * BC46 * 8</f>
        <v>1123.2</v>
      </c>
      <c r="BG46">
        <f>VLOOKUP($BG$6, 'Other Lists'!$B$27:$H$32, 7, FALSE) * BD46 * 8</f>
        <v>0</v>
      </c>
      <c r="BH46">
        <f t="shared" si="17"/>
        <v>1641.6</v>
      </c>
      <c r="BI46">
        <f t="shared" si="18"/>
        <v>9.0696132596685075</v>
      </c>
      <c r="BK46">
        <v>2</v>
      </c>
      <c r="BL46">
        <v>2</v>
      </c>
      <c r="BM46">
        <f>VLOOKUP($BM$6, 'Other Lists'!$B$27:$H$32, 7, FALSE) * BK46 * 8</f>
        <v>648</v>
      </c>
      <c r="BN46">
        <f>VLOOKUP($BN$6, 'Other Lists'!$B$27:$H$32, 7, FALSE) * BL46 * 8</f>
        <v>648</v>
      </c>
      <c r="BO46">
        <f t="shared" si="19"/>
        <v>2937.6</v>
      </c>
    </row>
    <row r="47" spans="2:67">
      <c r="B47">
        <v>199</v>
      </c>
      <c r="C47" s="15">
        <v>45333</v>
      </c>
      <c r="D47">
        <f t="shared" si="0"/>
        <v>1</v>
      </c>
      <c r="E47">
        <v>2</v>
      </c>
      <c r="F47">
        <v>201</v>
      </c>
      <c r="G47">
        <v>147</v>
      </c>
      <c r="H47">
        <v>135</v>
      </c>
      <c r="I47">
        <v>0</v>
      </c>
      <c r="J47">
        <v>140</v>
      </c>
      <c r="K47">
        <v>12</v>
      </c>
      <c r="L47">
        <v>0</v>
      </c>
      <c r="M47">
        <v>125</v>
      </c>
      <c r="N47">
        <f t="shared" si="1"/>
        <v>12</v>
      </c>
      <c r="O47" s="17">
        <f t="shared" si="2"/>
        <v>0.92592592592592593</v>
      </c>
      <c r="P47" s="19">
        <f>VLOOKUP(F47, 'Other Lists'!$B$13:$H$154, 7, FALSE)</f>
        <v>71</v>
      </c>
      <c r="Q47" s="18">
        <f>VLOOKUP(F47, 'Other Lists'!$B$13:$F$15, 5, FALSE)</f>
        <v>32.6</v>
      </c>
      <c r="R47" s="18">
        <f>VLOOKUP(F47, 'Other Lists'!$B$13:$G$15, 6, FALSE)</f>
        <v>16.5</v>
      </c>
      <c r="S47" s="18">
        <f t="shared" si="3"/>
        <v>49.1</v>
      </c>
      <c r="T47">
        <f>VLOOKUP(F47, 'Other Lists'!$B$13:$H$15, 7, FALSE) * M47</f>
        <v>8875</v>
      </c>
      <c r="U47">
        <f t="shared" si="4"/>
        <v>6628.5</v>
      </c>
      <c r="V47">
        <f t="shared" si="5"/>
        <v>2246.5</v>
      </c>
      <c r="W47">
        <f t="shared" si="6"/>
        <v>710</v>
      </c>
      <c r="X47">
        <v>2</v>
      </c>
      <c r="Y47">
        <v>0</v>
      </c>
      <c r="Z47">
        <v>1</v>
      </c>
      <c r="AA47">
        <f t="shared" si="7"/>
        <v>0</v>
      </c>
      <c r="AB47">
        <f>VLOOKUP($AB$6, 'Other Lists'!$B$27:$H$32, 7, FALSE) *Y47*8</f>
        <v>0</v>
      </c>
      <c r="AC47">
        <f>VLOOKUP($AC$6, 'Other Lists'!$B$27:$H$32, 7, FALSE) * Z47 * 8</f>
        <v>280.8</v>
      </c>
      <c r="AD47">
        <f>VLOOKUP($AD$6, 'Other Lists'!$B$27:$H$32, 7, FALSE) * AA47 * 8</f>
        <v>0</v>
      </c>
      <c r="AE47">
        <f t="shared" si="8"/>
        <v>1360.8000000000002</v>
      </c>
      <c r="AF47" s="18">
        <f t="shared" si="9"/>
        <v>10.080000000000002</v>
      </c>
      <c r="AH47">
        <v>105</v>
      </c>
      <c r="AI47">
        <v>91</v>
      </c>
      <c r="AJ47">
        <v>79</v>
      </c>
      <c r="AK47">
        <v>0</v>
      </c>
      <c r="AL47">
        <v>81</v>
      </c>
      <c r="AM47">
        <v>12</v>
      </c>
      <c r="AN47">
        <v>0</v>
      </c>
      <c r="AO47">
        <v>76</v>
      </c>
      <c r="AP47">
        <f t="shared" si="10"/>
        <v>12</v>
      </c>
      <c r="AQ47" s="17">
        <f t="shared" si="11"/>
        <v>0.96202531645569622</v>
      </c>
      <c r="AR47" s="18">
        <f>VLOOKUP($AH$8, 'Other Lists'!$B$13:$H$15, 7, FALSE)</f>
        <v>184</v>
      </c>
      <c r="AS47" s="18">
        <f>VLOOKUP($AH$8, 'Other Lists'!$B$13:$F$15, 5, FALSE)</f>
        <v>129</v>
      </c>
      <c r="AT47" s="18">
        <f>VLOOKUP($AH$8, 'Other Lists'!$B$13:$G$15, 6, FALSE)</f>
        <v>36</v>
      </c>
      <c r="AU47" s="18">
        <f t="shared" si="12"/>
        <v>165</v>
      </c>
      <c r="AV47" s="18">
        <f>VLOOKUP($AH$84, 'Other Lists'!$B$13:$H$15, 7, FALSE) *AO47</f>
        <v>13984</v>
      </c>
      <c r="AW47" s="18">
        <f t="shared" si="13"/>
        <v>13035</v>
      </c>
      <c r="AX47" s="18">
        <f t="shared" si="14"/>
        <v>949</v>
      </c>
      <c r="AY47" s="18">
        <f t="shared" si="15"/>
        <v>552</v>
      </c>
      <c r="AZ47">
        <v>3</v>
      </c>
      <c r="BA47">
        <v>3</v>
      </c>
      <c r="BB47">
        <v>0</v>
      </c>
      <c r="BC47">
        <v>1</v>
      </c>
      <c r="BD47">
        <f t="shared" si="16"/>
        <v>1</v>
      </c>
      <c r="BE47">
        <f>VLOOKUP($BE$6, 'Other Lists'!$B$27:$H$32, 7, FALSE) *BB47*8</f>
        <v>0</v>
      </c>
      <c r="BF47">
        <f>VLOOKUP($BF$6, 'Other Lists'!$B$27:$H$32, 7, FALSE) * BC47 * 8</f>
        <v>280.8</v>
      </c>
      <c r="BG47">
        <f>VLOOKUP($BG$6, 'Other Lists'!$B$27:$H$32, 7, FALSE) * BD47 * 8</f>
        <v>259.2</v>
      </c>
      <c r="BH47">
        <f t="shared" si="17"/>
        <v>1641.6</v>
      </c>
      <c r="BI47">
        <f t="shared" si="18"/>
        <v>20.779746835443039</v>
      </c>
      <c r="BK47">
        <v>1</v>
      </c>
      <c r="BL47">
        <v>1</v>
      </c>
      <c r="BM47">
        <f>VLOOKUP($BM$6, 'Other Lists'!$B$27:$H$32, 7, FALSE) * BK47 * 8</f>
        <v>324</v>
      </c>
      <c r="BN47">
        <f>VLOOKUP($BN$6, 'Other Lists'!$B$27:$H$32, 7, FALSE) * BL47 * 8</f>
        <v>324</v>
      </c>
      <c r="BO47">
        <f t="shared" si="19"/>
        <v>2289.6</v>
      </c>
    </row>
    <row r="48" spans="2:67">
      <c r="B48">
        <v>200</v>
      </c>
      <c r="C48" s="15">
        <v>45334</v>
      </c>
      <c r="D48">
        <f t="shared" si="0"/>
        <v>2</v>
      </c>
      <c r="E48">
        <v>2</v>
      </c>
      <c r="F48">
        <v>201</v>
      </c>
      <c r="G48">
        <v>119</v>
      </c>
      <c r="H48">
        <v>119</v>
      </c>
      <c r="I48">
        <v>0</v>
      </c>
      <c r="J48">
        <v>140</v>
      </c>
      <c r="K48">
        <v>0</v>
      </c>
      <c r="L48">
        <v>0</v>
      </c>
      <c r="M48">
        <v>115</v>
      </c>
      <c r="N48">
        <f t="shared" si="1"/>
        <v>0</v>
      </c>
      <c r="O48" s="17">
        <f t="shared" si="2"/>
        <v>0.96638655462184875</v>
      </c>
      <c r="P48" s="19">
        <f>VLOOKUP(F48, 'Other Lists'!$B$13:$H$154, 7, FALSE)</f>
        <v>71</v>
      </c>
      <c r="Q48" s="18">
        <f>VLOOKUP(F48, 'Other Lists'!$B$13:$F$15, 5, FALSE)</f>
        <v>32.6</v>
      </c>
      <c r="R48" s="18">
        <f>VLOOKUP(F48, 'Other Lists'!$B$13:$G$15, 6, FALSE)</f>
        <v>16.5</v>
      </c>
      <c r="S48" s="18">
        <f t="shared" si="3"/>
        <v>49.1</v>
      </c>
      <c r="T48">
        <f>VLOOKUP(F48, 'Other Lists'!$B$13:$H$15, 7, FALSE) * M48</f>
        <v>8165</v>
      </c>
      <c r="U48">
        <f t="shared" si="4"/>
        <v>5842.9000000000005</v>
      </c>
      <c r="V48">
        <f t="shared" si="5"/>
        <v>2322.0999999999995</v>
      </c>
      <c r="W48">
        <f t="shared" si="6"/>
        <v>284</v>
      </c>
      <c r="X48">
        <v>2</v>
      </c>
      <c r="Y48">
        <v>0</v>
      </c>
      <c r="Z48">
        <v>1</v>
      </c>
      <c r="AA48">
        <f t="shared" si="7"/>
        <v>0</v>
      </c>
      <c r="AB48">
        <f>VLOOKUP($AB$6, 'Other Lists'!$B$27:$H$32, 7, FALSE) *Y48*8</f>
        <v>0</v>
      </c>
      <c r="AC48">
        <f>VLOOKUP($AC$6, 'Other Lists'!$B$27:$H$32, 7, FALSE) * Z48 * 8</f>
        <v>280.8</v>
      </c>
      <c r="AD48">
        <f>VLOOKUP($AD$6, 'Other Lists'!$B$27:$H$32, 7, FALSE) * AA48 * 8</f>
        <v>0</v>
      </c>
      <c r="AE48">
        <f t="shared" si="8"/>
        <v>1360.8000000000002</v>
      </c>
      <c r="AF48" s="18">
        <f t="shared" si="9"/>
        <v>11.435294117647061</v>
      </c>
      <c r="AH48">
        <v>105</v>
      </c>
      <c r="AI48">
        <v>96</v>
      </c>
      <c r="AJ48">
        <v>85</v>
      </c>
      <c r="AK48">
        <v>0</v>
      </c>
      <c r="AL48">
        <v>81</v>
      </c>
      <c r="AM48">
        <v>11</v>
      </c>
      <c r="AN48">
        <v>0</v>
      </c>
      <c r="AO48">
        <v>82</v>
      </c>
      <c r="AP48">
        <f t="shared" si="10"/>
        <v>11</v>
      </c>
      <c r="AQ48" s="17">
        <f t="shared" si="11"/>
        <v>0.96470588235294119</v>
      </c>
      <c r="AR48" s="18">
        <f>VLOOKUP($AH$8, 'Other Lists'!$B$13:$H$15, 7, FALSE)</f>
        <v>184</v>
      </c>
      <c r="AS48" s="18">
        <f>VLOOKUP($AH$8, 'Other Lists'!$B$13:$F$15, 5, FALSE)</f>
        <v>129</v>
      </c>
      <c r="AT48" s="18">
        <f>VLOOKUP($AH$8, 'Other Lists'!$B$13:$G$15, 6, FALSE)</f>
        <v>36</v>
      </c>
      <c r="AU48" s="18">
        <f t="shared" si="12"/>
        <v>165</v>
      </c>
      <c r="AV48" s="18">
        <f>VLOOKUP($AH$84, 'Other Lists'!$B$13:$H$15, 7, FALSE) *AO48</f>
        <v>15088</v>
      </c>
      <c r="AW48" s="18">
        <f t="shared" si="13"/>
        <v>14025</v>
      </c>
      <c r="AX48" s="18">
        <f t="shared" si="14"/>
        <v>1063</v>
      </c>
      <c r="AY48" s="18">
        <f t="shared" si="15"/>
        <v>552</v>
      </c>
      <c r="AZ48">
        <v>3</v>
      </c>
      <c r="BA48">
        <v>3</v>
      </c>
      <c r="BB48">
        <v>0</v>
      </c>
      <c r="BC48">
        <v>1</v>
      </c>
      <c r="BD48">
        <f t="shared" si="16"/>
        <v>1</v>
      </c>
      <c r="BE48">
        <f>VLOOKUP($BE$6, 'Other Lists'!$B$27:$H$32, 7, FALSE) *BB48*8</f>
        <v>0</v>
      </c>
      <c r="BF48">
        <f>VLOOKUP($BF$6, 'Other Lists'!$B$27:$H$32, 7, FALSE) * BC48 * 8</f>
        <v>280.8</v>
      </c>
      <c r="BG48">
        <f>VLOOKUP($BG$6, 'Other Lists'!$B$27:$H$32, 7, FALSE) * BD48 * 8</f>
        <v>259.2</v>
      </c>
      <c r="BH48">
        <f t="shared" si="17"/>
        <v>1641.6</v>
      </c>
      <c r="BI48">
        <f t="shared" si="18"/>
        <v>19.312941176470588</v>
      </c>
      <c r="BK48">
        <v>1</v>
      </c>
      <c r="BL48">
        <v>1</v>
      </c>
      <c r="BM48">
        <f>VLOOKUP($BM$6, 'Other Lists'!$B$27:$H$32, 7, FALSE) * BK48 * 8</f>
        <v>324</v>
      </c>
      <c r="BN48">
        <f>VLOOKUP($BN$6, 'Other Lists'!$B$27:$H$32, 7, FALSE) * BL48 * 8</f>
        <v>324</v>
      </c>
      <c r="BO48">
        <f t="shared" si="19"/>
        <v>2289.6</v>
      </c>
    </row>
    <row r="49" spans="2:67">
      <c r="B49">
        <v>201</v>
      </c>
      <c r="C49" s="15">
        <v>45335</v>
      </c>
      <c r="D49">
        <f t="shared" si="0"/>
        <v>3</v>
      </c>
      <c r="E49">
        <v>2</v>
      </c>
      <c r="F49">
        <v>201</v>
      </c>
      <c r="G49">
        <v>308</v>
      </c>
      <c r="H49">
        <v>308</v>
      </c>
      <c r="I49">
        <v>0</v>
      </c>
      <c r="J49">
        <v>350</v>
      </c>
      <c r="K49">
        <v>0</v>
      </c>
      <c r="L49">
        <v>0</v>
      </c>
      <c r="M49">
        <v>298</v>
      </c>
      <c r="N49">
        <f t="shared" si="1"/>
        <v>0</v>
      </c>
      <c r="O49" s="17">
        <f t="shared" si="2"/>
        <v>0.96753246753246758</v>
      </c>
      <c r="P49" s="19">
        <f>VLOOKUP(F49, 'Other Lists'!$B$13:$H$154, 7, FALSE)</f>
        <v>71</v>
      </c>
      <c r="Q49" s="18">
        <f>VLOOKUP(F49, 'Other Lists'!$B$13:$F$15, 5, FALSE)</f>
        <v>32.6</v>
      </c>
      <c r="R49" s="18">
        <f>VLOOKUP(F49, 'Other Lists'!$B$13:$G$15, 6, FALSE)</f>
        <v>16.5</v>
      </c>
      <c r="S49" s="18">
        <f t="shared" si="3"/>
        <v>49.1</v>
      </c>
      <c r="T49">
        <f>VLOOKUP(F49, 'Other Lists'!$B$13:$H$15, 7, FALSE) * M49</f>
        <v>21158</v>
      </c>
      <c r="U49">
        <f t="shared" si="4"/>
        <v>15122.800000000001</v>
      </c>
      <c r="V49">
        <f t="shared" si="5"/>
        <v>6035.1999999999989</v>
      </c>
      <c r="W49">
        <f t="shared" si="6"/>
        <v>710</v>
      </c>
      <c r="X49">
        <v>5</v>
      </c>
      <c r="Y49">
        <v>0</v>
      </c>
      <c r="Z49">
        <v>3</v>
      </c>
      <c r="AA49">
        <f t="shared" si="7"/>
        <v>1</v>
      </c>
      <c r="AB49">
        <f>VLOOKUP($AB$6, 'Other Lists'!$B$27:$H$32, 7, FALSE) *Y49*8</f>
        <v>0</v>
      </c>
      <c r="AC49">
        <f>VLOOKUP($AC$6, 'Other Lists'!$B$27:$H$32, 7, FALSE) * Z49 * 8</f>
        <v>842.40000000000009</v>
      </c>
      <c r="AD49">
        <f>VLOOKUP($AD$6, 'Other Lists'!$B$27:$H$32, 7, FALSE) * AA49 * 8</f>
        <v>259.2</v>
      </c>
      <c r="AE49">
        <f t="shared" si="8"/>
        <v>1360.8000000000002</v>
      </c>
      <c r="AF49" s="18">
        <f t="shared" si="9"/>
        <v>4.4181818181818189</v>
      </c>
      <c r="AH49">
        <v>105</v>
      </c>
      <c r="AI49">
        <v>183</v>
      </c>
      <c r="AJ49">
        <v>183</v>
      </c>
      <c r="AK49">
        <v>0</v>
      </c>
      <c r="AL49">
        <v>189</v>
      </c>
      <c r="AM49">
        <v>0</v>
      </c>
      <c r="AN49">
        <v>0</v>
      </c>
      <c r="AO49">
        <v>179</v>
      </c>
      <c r="AP49">
        <f t="shared" si="10"/>
        <v>0</v>
      </c>
      <c r="AQ49" s="17">
        <f t="shared" si="11"/>
        <v>0.97814207650273222</v>
      </c>
      <c r="AR49" s="18">
        <f>VLOOKUP($AH$8, 'Other Lists'!$B$13:$H$15, 7, FALSE)</f>
        <v>184</v>
      </c>
      <c r="AS49" s="18">
        <f>VLOOKUP($AH$8, 'Other Lists'!$B$13:$F$15, 5, FALSE)</f>
        <v>129</v>
      </c>
      <c r="AT49" s="18">
        <f>VLOOKUP($AH$8, 'Other Lists'!$B$13:$G$15, 6, FALSE)</f>
        <v>36</v>
      </c>
      <c r="AU49" s="18">
        <f t="shared" si="12"/>
        <v>165</v>
      </c>
      <c r="AV49" s="18">
        <f>VLOOKUP($AH$84, 'Other Lists'!$B$13:$H$15, 7, FALSE) *AO49</f>
        <v>32936</v>
      </c>
      <c r="AW49" s="18">
        <f t="shared" si="13"/>
        <v>30195</v>
      </c>
      <c r="AX49" s="18">
        <f t="shared" si="14"/>
        <v>2741</v>
      </c>
      <c r="AY49" s="18">
        <f t="shared" si="15"/>
        <v>736</v>
      </c>
      <c r="AZ49">
        <v>7</v>
      </c>
      <c r="BA49">
        <v>7</v>
      </c>
      <c r="BB49">
        <v>0</v>
      </c>
      <c r="BC49">
        <v>4</v>
      </c>
      <c r="BD49">
        <f t="shared" si="16"/>
        <v>2</v>
      </c>
      <c r="BE49">
        <f>VLOOKUP($BE$6, 'Other Lists'!$B$27:$H$32, 7, FALSE) *BB49*8</f>
        <v>0</v>
      </c>
      <c r="BF49">
        <f>VLOOKUP($BF$6, 'Other Lists'!$B$27:$H$32, 7, FALSE) * BC49 * 8</f>
        <v>1123.2</v>
      </c>
      <c r="BG49">
        <f>VLOOKUP($BG$6, 'Other Lists'!$B$27:$H$32, 7, FALSE) * BD49 * 8</f>
        <v>518.4</v>
      </c>
      <c r="BH49">
        <f t="shared" si="17"/>
        <v>1641.6</v>
      </c>
      <c r="BI49">
        <f t="shared" si="18"/>
        <v>8.9704918032786889</v>
      </c>
      <c r="BK49">
        <v>1</v>
      </c>
      <c r="BL49">
        <v>2</v>
      </c>
      <c r="BM49">
        <f>VLOOKUP($BM$6, 'Other Lists'!$B$27:$H$32, 7, FALSE) * BK49 * 8</f>
        <v>324</v>
      </c>
      <c r="BN49">
        <f>VLOOKUP($BN$6, 'Other Lists'!$B$27:$H$32, 7, FALSE) * BL49 * 8</f>
        <v>648</v>
      </c>
      <c r="BO49">
        <f t="shared" si="19"/>
        <v>2613.6</v>
      </c>
    </row>
    <row r="50" spans="2:67">
      <c r="B50">
        <v>202</v>
      </c>
      <c r="C50" s="15">
        <v>45336</v>
      </c>
      <c r="D50">
        <f t="shared" si="0"/>
        <v>4</v>
      </c>
      <c r="E50">
        <v>2</v>
      </c>
      <c r="F50">
        <v>119</v>
      </c>
      <c r="G50">
        <v>787</v>
      </c>
      <c r="H50">
        <v>591</v>
      </c>
      <c r="I50">
        <v>0</v>
      </c>
      <c r="J50">
        <v>874.99999999999989</v>
      </c>
      <c r="K50">
        <v>196</v>
      </c>
      <c r="L50">
        <v>0</v>
      </c>
      <c r="M50">
        <v>579</v>
      </c>
      <c r="N50">
        <f t="shared" si="1"/>
        <v>196</v>
      </c>
      <c r="O50" s="17">
        <f t="shared" si="2"/>
        <v>0.97969543147208127</v>
      </c>
      <c r="P50" s="19">
        <f>VLOOKUP(F50, 'Other Lists'!$B$13:$H$154, 7, FALSE)</f>
        <v>32</v>
      </c>
      <c r="Q50" s="18">
        <f>VLOOKUP(F50, 'Other Lists'!$B$13:$F$15, 5, FALSE)</f>
        <v>17.8</v>
      </c>
      <c r="R50" s="18">
        <f>VLOOKUP(F50, 'Other Lists'!$B$13:$G$15, 6, FALSE)</f>
        <v>11</v>
      </c>
      <c r="S50" s="18">
        <f t="shared" si="3"/>
        <v>28.8</v>
      </c>
      <c r="T50">
        <f>VLOOKUP(F50, 'Other Lists'!$B$13:$H$15, 7, FALSE) * M50</f>
        <v>18528</v>
      </c>
      <c r="U50">
        <f t="shared" si="4"/>
        <v>17020.8</v>
      </c>
      <c r="V50">
        <f t="shared" si="5"/>
        <v>1507.2000000000007</v>
      </c>
      <c r="W50">
        <f t="shared" si="6"/>
        <v>384</v>
      </c>
      <c r="X50">
        <v>4</v>
      </c>
      <c r="Y50">
        <v>1</v>
      </c>
      <c r="Z50">
        <v>3</v>
      </c>
      <c r="AA50">
        <f t="shared" si="7"/>
        <v>-1</v>
      </c>
      <c r="AB50">
        <f>VLOOKUP($AB$6, 'Other Lists'!$B$27:$H$32, 7, FALSE) *Y50*8</f>
        <v>194.4</v>
      </c>
      <c r="AC50">
        <f>VLOOKUP($AC$6, 'Other Lists'!$B$27:$H$32, 7, FALSE) * Z50 * 8</f>
        <v>842.40000000000009</v>
      </c>
      <c r="AD50">
        <f>VLOOKUP($AD$6, 'Other Lists'!$B$27:$H$32, 7, FALSE) * AA50 * 8</f>
        <v>-259.2</v>
      </c>
      <c r="AE50">
        <f t="shared" si="8"/>
        <v>1360.8000000000002</v>
      </c>
      <c r="AF50" s="18">
        <f t="shared" si="9"/>
        <v>2.3025380710659902</v>
      </c>
      <c r="AH50">
        <v>105</v>
      </c>
      <c r="AI50">
        <v>223</v>
      </c>
      <c r="AJ50">
        <v>194</v>
      </c>
      <c r="AK50">
        <v>0</v>
      </c>
      <c r="AL50">
        <v>189</v>
      </c>
      <c r="AM50">
        <v>29</v>
      </c>
      <c r="AN50">
        <v>0</v>
      </c>
      <c r="AO50">
        <v>184</v>
      </c>
      <c r="AP50">
        <f t="shared" si="10"/>
        <v>29</v>
      </c>
      <c r="AQ50" s="17">
        <f t="shared" si="11"/>
        <v>0.94845360824742264</v>
      </c>
      <c r="AR50" s="18">
        <f>VLOOKUP($AH$8, 'Other Lists'!$B$13:$H$15, 7, FALSE)</f>
        <v>184</v>
      </c>
      <c r="AS50" s="18">
        <f>VLOOKUP($AH$8, 'Other Lists'!$B$13:$F$15, 5, FALSE)</f>
        <v>129</v>
      </c>
      <c r="AT50" s="18">
        <f>VLOOKUP($AH$8, 'Other Lists'!$B$13:$G$15, 6, FALSE)</f>
        <v>36</v>
      </c>
      <c r="AU50" s="18">
        <f t="shared" si="12"/>
        <v>165</v>
      </c>
      <c r="AV50" s="18">
        <f>VLOOKUP($AH$84, 'Other Lists'!$B$13:$H$15, 7, FALSE) *AO50</f>
        <v>33856</v>
      </c>
      <c r="AW50" s="18">
        <f t="shared" si="13"/>
        <v>32010</v>
      </c>
      <c r="AX50" s="18">
        <f t="shared" si="14"/>
        <v>1846</v>
      </c>
      <c r="AY50" s="18">
        <f t="shared" si="15"/>
        <v>1840</v>
      </c>
      <c r="AZ50">
        <v>7</v>
      </c>
      <c r="BA50">
        <v>7</v>
      </c>
      <c r="BB50">
        <v>0</v>
      </c>
      <c r="BC50">
        <v>3</v>
      </c>
      <c r="BD50">
        <f t="shared" si="16"/>
        <v>2</v>
      </c>
      <c r="BE50">
        <f>VLOOKUP($BE$6, 'Other Lists'!$B$27:$H$32, 7, FALSE) *BB50*8</f>
        <v>0</v>
      </c>
      <c r="BF50">
        <f>VLOOKUP($BF$6, 'Other Lists'!$B$27:$H$32, 7, FALSE) * BC50 * 8</f>
        <v>842.40000000000009</v>
      </c>
      <c r="BG50">
        <f>VLOOKUP($BG$6, 'Other Lists'!$B$27:$H$32, 7, FALSE) * BD50 * 8</f>
        <v>518.4</v>
      </c>
      <c r="BH50">
        <f t="shared" si="17"/>
        <v>1641.6</v>
      </c>
      <c r="BI50">
        <f t="shared" si="18"/>
        <v>8.4618556701030929</v>
      </c>
      <c r="BK50">
        <v>2</v>
      </c>
      <c r="BL50">
        <v>2</v>
      </c>
      <c r="BM50">
        <f>VLOOKUP($BM$6, 'Other Lists'!$B$27:$H$32, 7, FALSE) * BK50 * 8</f>
        <v>648</v>
      </c>
      <c r="BN50">
        <f>VLOOKUP($BN$6, 'Other Lists'!$B$27:$H$32, 7, FALSE) * BL50 * 8</f>
        <v>648</v>
      </c>
      <c r="BO50">
        <f t="shared" si="19"/>
        <v>2937.6</v>
      </c>
    </row>
    <row r="51" spans="2:67">
      <c r="B51">
        <v>203</v>
      </c>
      <c r="C51" s="15">
        <v>45337</v>
      </c>
      <c r="D51">
        <f t="shared" si="0"/>
        <v>5</v>
      </c>
      <c r="E51">
        <v>2</v>
      </c>
      <c r="F51">
        <v>119</v>
      </c>
      <c r="G51">
        <v>708</v>
      </c>
      <c r="H51">
        <v>708</v>
      </c>
      <c r="I51">
        <v>0</v>
      </c>
      <c r="J51">
        <v>874.99999999999989</v>
      </c>
      <c r="K51">
        <v>0</v>
      </c>
      <c r="L51">
        <v>0</v>
      </c>
      <c r="M51">
        <v>658</v>
      </c>
      <c r="N51">
        <f t="shared" si="1"/>
        <v>0</v>
      </c>
      <c r="O51" s="17">
        <f t="shared" si="2"/>
        <v>0.92937853107344637</v>
      </c>
      <c r="P51" s="19">
        <f>VLOOKUP(F51, 'Other Lists'!$B$13:$H$154, 7, FALSE)</f>
        <v>32</v>
      </c>
      <c r="Q51" s="18">
        <f>VLOOKUP(F51, 'Other Lists'!$B$13:$F$15, 5, FALSE)</f>
        <v>17.8</v>
      </c>
      <c r="R51" s="18">
        <f>VLOOKUP(F51, 'Other Lists'!$B$13:$G$15, 6, FALSE)</f>
        <v>11</v>
      </c>
      <c r="S51" s="18">
        <f t="shared" si="3"/>
        <v>28.8</v>
      </c>
      <c r="T51">
        <f>VLOOKUP(F51, 'Other Lists'!$B$13:$H$15, 7, FALSE) * M51</f>
        <v>21056</v>
      </c>
      <c r="U51">
        <f t="shared" si="4"/>
        <v>20390.400000000001</v>
      </c>
      <c r="V51">
        <f t="shared" si="5"/>
        <v>665.59999999999854</v>
      </c>
      <c r="W51">
        <f t="shared" si="6"/>
        <v>1600</v>
      </c>
      <c r="X51">
        <v>5</v>
      </c>
      <c r="Y51">
        <v>0</v>
      </c>
      <c r="Z51">
        <v>4</v>
      </c>
      <c r="AA51">
        <f t="shared" si="7"/>
        <v>0</v>
      </c>
      <c r="AB51">
        <f>VLOOKUP($AB$6, 'Other Lists'!$B$27:$H$32, 7, FALSE) *Y51*8</f>
        <v>0</v>
      </c>
      <c r="AC51">
        <f>VLOOKUP($AC$6, 'Other Lists'!$B$27:$H$32, 7, FALSE) * Z51 * 8</f>
        <v>1123.2</v>
      </c>
      <c r="AD51">
        <f>VLOOKUP($AD$6, 'Other Lists'!$B$27:$H$32, 7, FALSE) * AA51 * 8</f>
        <v>0</v>
      </c>
      <c r="AE51">
        <f t="shared" si="8"/>
        <v>1360.8000000000002</v>
      </c>
      <c r="AF51" s="18">
        <f t="shared" si="9"/>
        <v>1.9220338983050851</v>
      </c>
      <c r="AH51">
        <v>105</v>
      </c>
      <c r="AI51">
        <v>162</v>
      </c>
      <c r="AJ51">
        <v>162</v>
      </c>
      <c r="AK51">
        <v>0</v>
      </c>
      <c r="AL51">
        <v>189</v>
      </c>
      <c r="AM51">
        <v>0</v>
      </c>
      <c r="AN51">
        <v>0</v>
      </c>
      <c r="AO51">
        <v>157</v>
      </c>
      <c r="AP51">
        <f t="shared" si="10"/>
        <v>0</v>
      </c>
      <c r="AQ51" s="17">
        <f t="shared" si="11"/>
        <v>0.96913580246913578</v>
      </c>
      <c r="AR51" s="18">
        <f>VLOOKUP($AH$8, 'Other Lists'!$B$13:$H$15, 7, FALSE)</f>
        <v>184</v>
      </c>
      <c r="AS51" s="18">
        <f>VLOOKUP($AH$8, 'Other Lists'!$B$13:$F$15, 5, FALSE)</f>
        <v>129</v>
      </c>
      <c r="AT51" s="18">
        <f>VLOOKUP($AH$8, 'Other Lists'!$B$13:$G$15, 6, FALSE)</f>
        <v>36</v>
      </c>
      <c r="AU51" s="18">
        <f t="shared" si="12"/>
        <v>165</v>
      </c>
      <c r="AV51" s="18">
        <f>VLOOKUP($AH$84, 'Other Lists'!$B$13:$H$15, 7, FALSE) *AO51</f>
        <v>28888</v>
      </c>
      <c r="AW51" s="18">
        <f t="shared" si="13"/>
        <v>26730</v>
      </c>
      <c r="AX51" s="18">
        <f t="shared" si="14"/>
        <v>2158</v>
      </c>
      <c r="AY51" s="18">
        <f t="shared" si="15"/>
        <v>920</v>
      </c>
      <c r="AZ51">
        <v>7</v>
      </c>
      <c r="BA51">
        <v>7</v>
      </c>
      <c r="BB51">
        <v>0</v>
      </c>
      <c r="BC51">
        <v>3</v>
      </c>
      <c r="BD51">
        <f t="shared" si="16"/>
        <v>2</v>
      </c>
      <c r="BE51">
        <f>VLOOKUP($BE$6, 'Other Lists'!$B$27:$H$32, 7, FALSE) *BB51*8</f>
        <v>0</v>
      </c>
      <c r="BF51">
        <f>VLOOKUP($BF$6, 'Other Lists'!$B$27:$H$32, 7, FALSE) * BC51 * 8</f>
        <v>842.40000000000009</v>
      </c>
      <c r="BG51">
        <f>VLOOKUP($BG$6, 'Other Lists'!$B$27:$H$32, 7, FALSE) * BD51 * 8</f>
        <v>518.4</v>
      </c>
      <c r="BH51">
        <f t="shared" si="17"/>
        <v>1641.6</v>
      </c>
      <c r="BI51">
        <f t="shared" si="18"/>
        <v>10.133333333333333</v>
      </c>
      <c r="BK51">
        <v>2</v>
      </c>
      <c r="BL51">
        <v>2</v>
      </c>
      <c r="BM51">
        <f>VLOOKUP($BM$6, 'Other Lists'!$B$27:$H$32, 7, FALSE) * BK51 * 8</f>
        <v>648</v>
      </c>
      <c r="BN51">
        <f>VLOOKUP($BN$6, 'Other Lists'!$B$27:$H$32, 7, FALSE) * BL51 * 8</f>
        <v>648</v>
      </c>
      <c r="BO51">
        <f t="shared" si="19"/>
        <v>2937.6</v>
      </c>
    </row>
    <row r="52" spans="2:67">
      <c r="B52">
        <v>204</v>
      </c>
      <c r="C52" s="15">
        <v>45338</v>
      </c>
      <c r="D52">
        <f t="shared" si="0"/>
        <v>6</v>
      </c>
      <c r="E52">
        <v>2</v>
      </c>
      <c r="F52">
        <v>119</v>
      </c>
      <c r="G52">
        <v>787</v>
      </c>
      <c r="H52">
        <v>665</v>
      </c>
      <c r="I52">
        <v>0</v>
      </c>
      <c r="J52">
        <v>874.99999999999989</v>
      </c>
      <c r="K52">
        <v>122</v>
      </c>
      <c r="L52">
        <v>0</v>
      </c>
      <c r="M52">
        <v>631</v>
      </c>
      <c r="N52">
        <f t="shared" si="1"/>
        <v>122</v>
      </c>
      <c r="O52" s="17">
        <f t="shared" si="2"/>
        <v>0.94887218045112787</v>
      </c>
      <c r="P52" s="19">
        <f>VLOOKUP(F52, 'Other Lists'!$B$13:$H$154, 7, FALSE)</f>
        <v>32</v>
      </c>
      <c r="Q52" s="18">
        <f>VLOOKUP(F52, 'Other Lists'!$B$13:$F$15, 5, FALSE)</f>
        <v>17.8</v>
      </c>
      <c r="R52" s="18">
        <f>VLOOKUP(F52, 'Other Lists'!$B$13:$G$15, 6, FALSE)</f>
        <v>11</v>
      </c>
      <c r="S52" s="18">
        <f t="shared" si="3"/>
        <v>28.8</v>
      </c>
      <c r="T52">
        <f>VLOOKUP(F52, 'Other Lists'!$B$13:$H$15, 7, FALSE) * M52</f>
        <v>20192</v>
      </c>
      <c r="U52">
        <f t="shared" si="4"/>
        <v>19152</v>
      </c>
      <c r="V52">
        <f t="shared" si="5"/>
        <v>1040</v>
      </c>
      <c r="W52">
        <f t="shared" si="6"/>
        <v>1088</v>
      </c>
      <c r="X52">
        <v>4</v>
      </c>
      <c r="Y52">
        <v>0</v>
      </c>
      <c r="Z52">
        <v>3</v>
      </c>
      <c r="AA52">
        <f t="shared" si="7"/>
        <v>0</v>
      </c>
      <c r="AB52">
        <f>VLOOKUP($AB$6, 'Other Lists'!$B$27:$H$32, 7, FALSE) *Y52*8</f>
        <v>0</v>
      </c>
      <c r="AC52">
        <f>VLOOKUP($AC$6, 'Other Lists'!$B$27:$H$32, 7, FALSE) * Z52 * 8</f>
        <v>842.40000000000009</v>
      </c>
      <c r="AD52">
        <f>VLOOKUP($AD$6, 'Other Lists'!$B$27:$H$32, 7, FALSE) * AA52 * 8</f>
        <v>0</v>
      </c>
      <c r="AE52">
        <f t="shared" si="8"/>
        <v>1360.8000000000002</v>
      </c>
      <c r="AF52" s="18">
        <f t="shared" si="9"/>
        <v>2.0463157894736845</v>
      </c>
      <c r="AH52">
        <v>105</v>
      </c>
      <c r="AI52">
        <v>175</v>
      </c>
      <c r="AJ52">
        <v>175</v>
      </c>
      <c r="AK52">
        <v>0</v>
      </c>
      <c r="AL52">
        <v>189</v>
      </c>
      <c r="AM52">
        <v>0</v>
      </c>
      <c r="AN52">
        <v>0</v>
      </c>
      <c r="AO52">
        <v>168</v>
      </c>
      <c r="AP52">
        <f t="shared" si="10"/>
        <v>0</v>
      </c>
      <c r="AQ52" s="17">
        <f t="shared" si="11"/>
        <v>0.96</v>
      </c>
      <c r="AR52" s="18">
        <f>VLOOKUP($AH$8, 'Other Lists'!$B$13:$H$15, 7, FALSE)</f>
        <v>184</v>
      </c>
      <c r="AS52" s="18">
        <f>VLOOKUP($AH$8, 'Other Lists'!$B$13:$F$15, 5, FALSE)</f>
        <v>129</v>
      </c>
      <c r="AT52" s="18">
        <f>VLOOKUP($AH$8, 'Other Lists'!$B$13:$G$15, 6, FALSE)</f>
        <v>36</v>
      </c>
      <c r="AU52" s="18">
        <f t="shared" si="12"/>
        <v>165</v>
      </c>
      <c r="AV52" s="18">
        <f>VLOOKUP($AH$84, 'Other Lists'!$B$13:$H$15, 7, FALSE) *AO52</f>
        <v>30912</v>
      </c>
      <c r="AW52" s="18">
        <f t="shared" si="13"/>
        <v>28875</v>
      </c>
      <c r="AX52" s="18">
        <f t="shared" si="14"/>
        <v>2037</v>
      </c>
      <c r="AY52" s="18">
        <f t="shared" si="15"/>
        <v>1288</v>
      </c>
      <c r="AZ52">
        <v>7</v>
      </c>
      <c r="BA52">
        <v>7</v>
      </c>
      <c r="BB52">
        <v>0</v>
      </c>
      <c r="BC52">
        <v>3</v>
      </c>
      <c r="BD52">
        <f t="shared" si="16"/>
        <v>2</v>
      </c>
      <c r="BE52">
        <f>VLOOKUP($BE$6, 'Other Lists'!$B$27:$H$32, 7, FALSE) *BB52*8</f>
        <v>0</v>
      </c>
      <c r="BF52">
        <f>VLOOKUP($BF$6, 'Other Lists'!$B$27:$H$32, 7, FALSE) * BC52 * 8</f>
        <v>842.40000000000009</v>
      </c>
      <c r="BG52">
        <f>VLOOKUP($BG$6, 'Other Lists'!$B$27:$H$32, 7, FALSE) * BD52 * 8</f>
        <v>518.4</v>
      </c>
      <c r="BH52">
        <f t="shared" si="17"/>
        <v>1641.6</v>
      </c>
      <c r="BI52">
        <f t="shared" si="18"/>
        <v>9.3805714285714288</v>
      </c>
      <c r="BK52">
        <v>2</v>
      </c>
      <c r="BL52">
        <v>2</v>
      </c>
      <c r="BM52">
        <f>VLOOKUP($BM$6, 'Other Lists'!$B$27:$H$32, 7, FALSE) * BK52 * 8</f>
        <v>648</v>
      </c>
      <c r="BN52">
        <f>VLOOKUP($BN$6, 'Other Lists'!$B$27:$H$32, 7, FALSE) * BL52 * 8</f>
        <v>648</v>
      </c>
      <c r="BO52">
        <f t="shared" si="19"/>
        <v>2937.6</v>
      </c>
    </row>
    <row r="53" spans="2:67">
      <c r="B53">
        <v>205</v>
      </c>
      <c r="C53" s="15">
        <v>45339</v>
      </c>
      <c r="D53">
        <f t="shared" si="0"/>
        <v>7</v>
      </c>
      <c r="E53">
        <v>2</v>
      </c>
      <c r="F53">
        <v>119</v>
      </c>
      <c r="G53">
        <v>997</v>
      </c>
      <c r="H53">
        <v>848</v>
      </c>
      <c r="I53">
        <v>0</v>
      </c>
      <c r="J53">
        <v>874.99999999999989</v>
      </c>
      <c r="K53">
        <v>149</v>
      </c>
      <c r="L53">
        <v>0</v>
      </c>
      <c r="M53">
        <v>805</v>
      </c>
      <c r="N53">
        <f t="shared" si="1"/>
        <v>149</v>
      </c>
      <c r="O53" s="17">
        <f t="shared" si="2"/>
        <v>0.9492924528301887</v>
      </c>
      <c r="P53" s="19">
        <f>VLOOKUP(F53, 'Other Lists'!$B$13:$H$154, 7, FALSE)</f>
        <v>32</v>
      </c>
      <c r="Q53" s="18">
        <f>VLOOKUP(F53, 'Other Lists'!$B$13:$F$15, 5, FALSE)</f>
        <v>17.8</v>
      </c>
      <c r="R53" s="18">
        <f>VLOOKUP(F53, 'Other Lists'!$B$13:$G$15, 6, FALSE)</f>
        <v>11</v>
      </c>
      <c r="S53" s="18">
        <f t="shared" si="3"/>
        <v>28.8</v>
      </c>
      <c r="T53">
        <f>VLOOKUP(F53, 'Other Lists'!$B$13:$H$15, 7, FALSE) * M53</f>
        <v>25760</v>
      </c>
      <c r="U53">
        <f t="shared" si="4"/>
        <v>24422.400000000001</v>
      </c>
      <c r="V53">
        <f t="shared" si="5"/>
        <v>1337.5999999999985</v>
      </c>
      <c r="W53">
        <f t="shared" si="6"/>
        <v>1376</v>
      </c>
      <c r="X53">
        <v>5</v>
      </c>
      <c r="Y53">
        <v>0</v>
      </c>
      <c r="Z53">
        <v>4</v>
      </c>
      <c r="AA53">
        <f t="shared" si="7"/>
        <v>0</v>
      </c>
      <c r="AB53">
        <f>VLOOKUP($AB$6, 'Other Lists'!$B$27:$H$32, 7, FALSE) *Y53*8</f>
        <v>0</v>
      </c>
      <c r="AC53">
        <f>VLOOKUP($AC$6, 'Other Lists'!$B$27:$H$32, 7, FALSE) * Z53 * 8</f>
        <v>1123.2</v>
      </c>
      <c r="AD53">
        <f>VLOOKUP($AD$6, 'Other Lists'!$B$27:$H$32, 7, FALSE) * AA53 * 8</f>
        <v>0</v>
      </c>
      <c r="AE53">
        <f t="shared" si="8"/>
        <v>1360.8000000000002</v>
      </c>
      <c r="AF53" s="18">
        <f t="shared" si="9"/>
        <v>1.6047169811320756</v>
      </c>
      <c r="AH53">
        <v>105</v>
      </c>
      <c r="AI53">
        <v>162</v>
      </c>
      <c r="AJ53">
        <v>162</v>
      </c>
      <c r="AK53">
        <v>0</v>
      </c>
      <c r="AL53">
        <v>189</v>
      </c>
      <c r="AM53">
        <v>0</v>
      </c>
      <c r="AN53">
        <v>0</v>
      </c>
      <c r="AO53">
        <v>150</v>
      </c>
      <c r="AP53">
        <f t="shared" si="10"/>
        <v>0</v>
      </c>
      <c r="AQ53" s="17">
        <f t="shared" si="11"/>
        <v>0.92592592592592593</v>
      </c>
      <c r="AR53" s="18">
        <f>VLOOKUP($AH$8, 'Other Lists'!$B$13:$H$15, 7, FALSE)</f>
        <v>184</v>
      </c>
      <c r="AS53" s="18">
        <f>VLOOKUP($AH$8, 'Other Lists'!$B$13:$F$15, 5, FALSE)</f>
        <v>129</v>
      </c>
      <c r="AT53" s="18">
        <f>VLOOKUP($AH$8, 'Other Lists'!$B$13:$G$15, 6, FALSE)</f>
        <v>36</v>
      </c>
      <c r="AU53" s="18">
        <f t="shared" si="12"/>
        <v>165</v>
      </c>
      <c r="AV53" s="18">
        <f>VLOOKUP($AH$84, 'Other Lists'!$B$13:$H$15, 7, FALSE) *AO53</f>
        <v>27600</v>
      </c>
      <c r="AW53" s="18">
        <f t="shared" si="13"/>
        <v>26730</v>
      </c>
      <c r="AX53" s="18">
        <f t="shared" si="14"/>
        <v>870</v>
      </c>
      <c r="AY53" s="18">
        <f t="shared" si="15"/>
        <v>2208</v>
      </c>
      <c r="AZ53">
        <v>7</v>
      </c>
      <c r="BA53">
        <v>7</v>
      </c>
      <c r="BB53">
        <v>0</v>
      </c>
      <c r="BC53">
        <v>4</v>
      </c>
      <c r="BD53">
        <f t="shared" si="16"/>
        <v>1</v>
      </c>
      <c r="BE53">
        <f>VLOOKUP($BE$6, 'Other Lists'!$B$27:$H$32, 7, FALSE) *BB53*8</f>
        <v>0</v>
      </c>
      <c r="BF53">
        <f>VLOOKUP($BF$6, 'Other Lists'!$B$27:$H$32, 7, FALSE) * BC53 * 8</f>
        <v>1123.2</v>
      </c>
      <c r="BG53">
        <f>VLOOKUP($BG$6, 'Other Lists'!$B$27:$H$32, 7, FALSE) * BD53 * 8</f>
        <v>259.2</v>
      </c>
      <c r="BH53">
        <f t="shared" si="17"/>
        <v>1641.6</v>
      </c>
      <c r="BI53">
        <f t="shared" si="18"/>
        <v>10.133333333333333</v>
      </c>
      <c r="BK53">
        <v>2</v>
      </c>
      <c r="BL53">
        <v>2</v>
      </c>
      <c r="BM53">
        <f>VLOOKUP($BM$6, 'Other Lists'!$B$27:$H$32, 7, FALSE) * BK53 * 8</f>
        <v>648</v>
      </c>
      <c r="BN53">
        <f>VLOOKUP($BN$6, 'Other Lists'!$B$27:$H$32, 7, FALSE) * BL53 * 8</f>
        <v>648</v>
      </c>
      <c r="BO53">
        <f t="shared" si="19"/>
        <v>2937.6</v>
      </c>
    </row>
    <row r="54" spans="2:67">
      <c r="B54">
        <v>206</v>
      </c>
      <c r="C54" s="15">
        <v>45340</v>
      </c>
      <c r="D54">
        <f t="shared" si="0"/>
        <v>1</v>
      </c>
      <c r="E54">
        <v>2</v>
      </c>
      <c r="F54">
        <v>201</v>
      </c>
      <c r="G54">
        <v>151</v>
      </c>
      <c r="H54">
        <v>142</v>
      </c>
      <c r="I54">
        <v>0</v>
      </c>
      <c r="J54">
        <v>140</v>
      </c>
      <c r="K54">
        <v>9</v>
      </c>
      <c r="L54">
        <v>0</v>
      </c>
      <c r="M54">
        <v>132</v>
      </c>
      <c r="N54">
        <f t="shared" si="1"/>
        <v>9</v>
      </c>
      <c r="O54" s="17">
        <f t="shared" si="2"/>
        <v>0.92957746478873238</v>
      </c>
      <c r="P54" s="19">
        <f>VLOOKUP(F54, 'Other Lists'!$B$13:$H$154, 7, FALSE)</f>
        <v>71</v>
      </c>
      <c r="Q54" s="18">
        <f>VLOOKUP(F54, 'Other Lists'!$B$13:$F$15, 5, FALSE)</f>
        <v>32.6</v>
      </c>
      <c r="R54" s="18">
        <f>VLOOKUP(F54, 'Other Lists'!$B$13:$G$15, 6, FALSE)</f>
        <v>16.5</v>
      </c>
      <c r="S54" s="18">
        <f t="shared" si="3"/>
        <v>49.1</v>
      </c>
      <c r="T54">
        <f>VLOOKUP(F54, 'Other Lists'!$B$13:$H$15, 7, FALSE) * M54</f>
        <v>9372</v>
      </c>
      <c r="U54">
        <f t="shared" si="4"/>
        <v>6972.2</v>
      </c>
      <c r="V54">
        <f t="shared" si="5"/>
        <v>2399.8000000000002</v>
      </c>
      <c r="W54">
        <f t="shared" si="6"/>
        <v>710</v>
      </c>
      <c r="X54">
        <v>2</v>
      </c>
      <c r="Y54">
        <v>0</v>
      </c>
      <c r="Z54">
        <v>1</v>
      </c>
      <c r="AA54">
        <f t="shared" si="7"/>
        <v>0</v>
      </c>
      <c r="AB54">
        <f>VLOOKUP($AB$6, 'Other Lists'!$B$27:$H$32, 7, FALSE) *Y54*8</f>
        <v>0</v>
      </c>
      <c r="AC54">
        <f>VLOOKUP($AC$6, 'Other Lists'!$B$27:$H$32, 7, FALSE) * Z54 * 8</f>
        <v>280.8</v>
      </c>
      <c r="AD54">
        <f>VLOOKUP($AD$6, 'Other Lists'!$B$27:$H$32, 7, FALSE) * AA54 * 8</f>
        <v>0</v>
      </c>
      <c r="AE54">
        <f t="shared" si="8"/>
        <v>1360.8000000000002</v>
      </c>
      <c r="AF54" s="18">
        <f t="shared" si="9"/>
        <v>9.5830985915492963</v>
      </c>
      <c r="AH54">
        <v>105</v>
      </c>
      <c r="AI54">
        <v>78</v>
      </c>
      <c r="AJ54">
        <v>78</v>
      </c>
      <c r="AK54">
        <v>0</v>
      </c>
      <c r="AL54">
        <v>81</v>
      </c>
      <c r="AM54">
        <v>0</v>
      </c>
      <c r="AN54">
        <v>0</v>
      </c>
      <c r="AO54">
        <v>73</v>
      </c>
      <c r="AP54">
        <f t="shared" si="10"/>
        <v>0</v>
      </c>
      <c r="AQ54" s="17">
        <f t="shared" si="11"/>
        <v>0.9358974358974359</v>
      </c>
      <c r="AR54" s="18">
        <f>VLOOKUP($AH$8, 'Other Lists'!$B$13:$H$15, 7, FALSE)</f>
        <v>184</v>
      </c>
      <c r="AS54" s="18">
        <f>VLOOKUP($AH$8, 'Other Lists'!$B$13:$F$15, 5, FALSE)</f>
        <v>129</v>
      </c>
      <c r="AT54" s="18">
        <f>VLOOKUP($AH$8, 'Other Lists'!$B$13:$G$15, 6, FALSE)</f>
        <v>36</v>
      </c>
      <c r="AU54" s="18">
        <f t="shared" si="12"/>
        <v>165</v>
      </c>
      <c r="AV54" s="18">
        <f>VLOOKUP($AH$84, 'Other Lists'!$B$13:$H$15, 7, FALSE) *AO54</f>
        <v>13432</v>
      </c>
      <c r="AW54" s="18">
        <f t="shared" si="13"/>
        <v>12870</v>
      </c>
      <c r="AX54" s="18">
        <f t="shared" si="14"/>
        <v>562</v>
      </c>
      <c r="AY54" s="18">
        <f t="shared" si="15"/>
        <v>920</v>
      </c>
      <c r="AZ54">
        <v>3</v>
      </c>
      <c r="BA54">
        <v>3</v>
      </c>
      <c r="BB54">
        <v>0</v>
      </c>
      <c r="BC54">
        <v>1</v>
      </c>
      <c r="BD54">
        <f t="shared" si="16"/>
        <v>1</v>
      </c>
      <c r="BE54">
        <f>VLOOKUP($BE$6, 'Other Lists'!$B$27:$H$32, 7, FALSE) *BB54*8</f>
        <v>0</v>
      </c>
      <c r="BF54">
        <f>VLOOKUP($BF$6, 'Other Lists'!$B$27:$H$32, 7, FALSE) * BC54 * 8</f>
        <v>280.8</v>
      </c>
      <c r="BG54">
        <f>VLOOKUP($BG$6, 'Other Lists'!$B$27:$H$32, 7, FALSE) * BD54 * 8</f>
        <v>259.2</v>
      </c>
      <c r="BH54">
        <f t="shared" si="17"/>
        <v>1641.6</v>
      </c>
      <c r="BI54">
        <f t="shared" si="18"/>
        <v>21.046153846153846</v>
      </c>
      <c r="BK54">
        <v>1</v>
      </c>
      <c r="BL54">
        <v>1</v>
      </c>
      <c r="BM54">
        <f>VLOOKUP($BM$6, 'Other Lists'!$B$27:$H$32, 7, FALSE) * BK54 * 8</f>
        <v>324</v>
      </c>
      <c r="BN54">
        <f>VLOOKUP($BN$6, 'Other Lists'!$B$27:$H$32, 7, FALSE) * BL54 * 8</f>
        <v>324</v>
      </c>
      <c r="BO54">
        <f t="shared" si="19"/>
        <v>2289.6</v>
      </c>
    </row>
    <row r="55" spans="2:67">
      <c r="B55">
        <v>207</v>
      </c>
      <c r="C55" s="15">
        <v>45341</v>
      </c>
      <c r="D55">
        <f t="shared" si="0"/>
        <v>2</v>
      </c>
      <c r="E55">
        <v>2</v>
      </c>
      <c r="F55">
        <v>201</v>
      </c>
      <c r="G55">
        <v>135</v>
      </c>
      <c r="H55">
        <v>135</v>
      </c>
      <c r="I55">
        <v>0</v>
      </c>
      <c r="J55">
        <v>140</v>
      </c>
      <c r="K55">
        <v>0</v>
      </c>
      <c r="L55">
        <v>0</v>
      </c>
      <c r="M55">
        <v>128</v>
      </c>
      <c r="N55">
        <f t="shared" si="1"/>
        <v>0</v>
      </c>
      <c r="O55" s="17">
        <f t="shared" si="2"/>
        <v>0.94814814814814818</v>
      </c>
      <c r="P55" s="19">
        <f>VLOOKUP(F55, 'Other Lists'!$B$13:$H$154, 7, FALSE)</f>
        <v>71</v>
      </c>
      <c r="Q55" s="18">
        <f>VLOOKUP(F55, 'Other Lists'!$B$13:$F$15, 5, FALSE)</f>
        <v>32.6</v>
      </c>
      <c r="R55" s="18">
        <f>VLOOKUP(F55, 'Other Lists'!$B$13:$G$15, 6, FALSE)</f>
        <v>16.5</v>
      </c>
      <c r="S55" s="18">
        <f t="shared" si="3"/>
        <v>49.1</v>
      </c>
      <c r="T55">
        <f>VLOOKUP(F55, 'Other Lists'!$B$13:$H$15, 7, FALSE) * M55</f>
        <v>9088</v>
      </c>
      <c r="U55">
        <f t="shared" si="4"/>
        <v>6628.5</v>
      </c>
      <c r="V55">
        <f t="shared" si="5"/>
        <v>2459.5</v>
      </c>
      <c r="W55">
        <f t="shared" si="6"/>
        <v>497</v>
      </c>
      <c r="X55">
        <v>2</v>
      </c>
      <c r="Y55">
        <v>0</v>
      </c>
      <c r="Z55">
        <v>1</v>
      </c>
      <c r="AA55">
        <f t="shared" si="7"/>
        <v>0</v>
      </c>
      <c r="AB55">
        <f>VLOOKUP($AB$6, 'Other Lists'!$B$27:$H$32, 7, FALSE) *Y55*8</f>
        <v>0</v>
      </c>
      <c r="AC55">
        <f>VLOOKUP($AC$6, 'Other Lists'!$B$27:$H$32, 7, FALSE) * Z55 * 8</f>
        <v>280.8</v>
      </c>
      <c r="AD55">
        <f>VLOOKUP($AD$6, 'Other Lists'!$B$27:$H$32, 7, FALSE) * AA55 * 8</f>
        <v>0</v>
      </c>
      <c r="AE55">
        <f t="shared" si="8"/>
        <v>1360.8000000000002</v>
      </c>
      <c r="AF55" s="18">
        <f t="shared" si="9"/>
        <v>10.080000000000002</v>
      </c>
      <c r="AH55">
        <v>105</v>
      </c>
      <c r="AI55">
        <v>91</v>
      </c>
      <c r="AJ55">
        <v>80</v>
      </c>
      <c r="AK55">
        <v>0</v>
      </c>
      <c r="AL55">
        <v>81</v>
      </c>
      <c r="AM55">
        <v>11</v>
      </c>
      <c r="AN55">
        <v>0</v>
      </c>
      <c r="AO55">
        <v>76</v>
      </c>
      <c r="AP55">
        <f t="shared" si="10"/>
        <v>11</v>
      </c>
      <c r="AQ55" s="17">
        <f t="shared" si="11"/>
        <v>0.95</v>
      </c>
      <c r="AR55" s="18">
        <f>VLOOKUP($AH$8, 'Other Lists'!$B$13:$H$15, 7, FALSE)</f>
        <v>184</v>
      </c>
      <c r="AS55" s="18">
        <f>VLOOKUP($AH$8, 'Other Lists'!$B$13:$F$15, 5, FALSE)</f>
        <v>129</v>
      </c>
      <c r="AT55" s="18">
        <f>VLOOKUP($AH$8, 'Other Lists'!$B$13:$G$15, 6, FALSE)</f>
        <v>36</v>
      </c>
      <c r="AU55" s="18">
        <f t="shared" si="12"/>
        <v>165</v>
      </c>
      <c r="AV55" s="18">
        <f>VLOOKUP($AH$84, 'Other Lists'!$B$13:$H$15, 7, FALSE) *AO55</f>
        <v>13984</v>
      </c>
      <c r="AW55" s="18">
        <f t="shared" si="13"/>
        <v>13200</v>
      </c>
      <c r="AX55" s="18">
        <f t="shared" si="14"/>
        <v>784</v>
      </c>
      <c r="AY55" s="18">
        <f t="shared" si="15"/>
        <v>736</v>
      </c>
      <c r="AZ55">
        <v>3</v>
      </c>
      <c r="BA55">
        <v>3</v>
      </c>
      <c r="BB55">
        <v>0</v>
      </c>
      <c r="BC55">
        <v>1</v>
      </c>
      <c r="BD55">
        <f t="shared" si="16"/>
        <v>1</v>
      </c>
      <c r="BE55">
        <f>VLOOKUP($BE$6, 'Other Lists'!$B$27:$H$32, 7, FALSE) *BB55*8</f>
        <v>0</v>
      </c>
      <c r="BF55">
        <f>VLOOKUP($BF$6, 'Other Lists'!$B$27:$H$32, 7, FALSE) * BC55 * 8</f>
        <v>280.8</v>
      </c>
      <c r="BG55">
        <f>VLOOKUP($BG$6, 'Other Lists'!$B$27:$H$32, 7, FALSE) * BD55 * 8</f>
        <v>259.2</v>
      </c>
      <c r="BH55">
        <f t="shared" si="17"/>
        <v>1641.6</v>
      </c>
      <c r="BI55">
        <f t="shared" si="18"/>
        <v>20.52</v>
      </c>
      <c r="BK55">
        <v>1</v>
      </c>
      <c r="BL55">
        <v>1</v>
      </c>
      <c r="BM55">
        <f>VLOOKUP($BM$6, 'Other Lists'!$B$27:$H$32, 7, FALSE) * BK55 * 8</f>
        <v>324</v>
      </c>
      <c r="BN55">
        <f>VLOOKUP($BN$6, 'Other Lists'!$B$27:$H$32, 7, FALSE) * BL55 * 8</f>
        <v>324</v>
      </c>
      <c r="BO55">
        <f t="shared" si="19"/>
        <v>2289.6</v>
      </c>
    </row>
    <row r="56" spans="2:67">
      <c r="B56">
        <v>208</v>
      </c>
      <c r="C56" s="15">
        <v>45342</v>
      </c>
      <c r="D56">
        <f t="shared" si="0"/>
        <v>3</v>
      </c>
      <c r="E56">
        <v>2</v>
      </c>
      <c r="F56">
        <v>201</v>
      </c>
      <c r="G56">
        <v>332</v>
      </c>
      <c r="H56">
        <v>332</v>
      </c>
      <c r="I56">
        <v>0</v>
      </c>
      <c r="J56">
        <v>350</v>
      </c>
      <c r="K56">
        <v>0</v>
      </c>
      <c r="L56">
        <v>0</v>
      </c>
      <c r="M56">
        <v>315</v>
      </c>
      <c r="N56">
        <f t="shared" si="1"/>
        <v>0</v>
      </c>
      <c r="O56" s="17">
        <f t="shared" si="2"/>
        <v>0.9487951807228916</v>
      </c>
      <c r="P56" s="19">
        <f>VLOOKUP(F56, 'Other Lists'!$B$13:$H$154, 7, FALSE)</f>
        <v>71</v>
      </c>
      <c r="Q56" s="18">
        <f>VLOOKUP(F56, 'Other Lists'!$B$13:$F$15, 5, FALSE)</f>
        <v>32.6</v>
      </c>
      <c r="R56" s="18">
        <f>VLOOKUP(F56, 'Other Lists'!$B$13:$G$15, 6, FALSE)</f>
        <v>16.5</v>
      </c>
      <c r="S56" s="18">
        <f t="shared" si="3"/>
        <v>49.1</v>
      </c>
      <c r="T56">
        <f>VLOOKUP(F56, 'Other Lists'!$B$13:$H$15, 7, FALSE) * M56</f>
        <v>22365</v>
      </c>
      <c r="U56">
        <f t="shared" si="4"/>
        <v>16301.2</v>
      </c>
      <c r="V56">
        <f t="shared" si="5"/>
        <v>6063.7999999999993</v>
      </c>
      <c r="W56">
        <f t="shared" si="6"/>
        <v>1207</v>
      </c>
      <c r="X56">
        <v>5</v>
      </c>
      <c r="Y56">
        <v>0</v>
      </c>
      <c r="Z56">
        <v>4</v>
      </c>
      <c r="AA56">
        <f t="shared" si="7"/>
        <v>0</v>
      </c>
      <c r="AB56">
        <f>VLOOKUP($AB$6, 'Other Lists'!$B$27:$H$32, 7, FALSE) *Y56*8</f>
        <v>0</v>
      </c>
      <c r="AC56">
        <f>VLOOKUP($AC$6, 'Other Lists'!$B$27:$H$32, 7, FALSE) * Z56 * 8</f>
        <v>1123.2</v>
      </c>
      <c r="AD56">
        <f>VLOOKUP($AD$6, 'Other Lists'!$B$27:$H$32, 7, FALSE) * AA56 * 8</f>
        <v>0</v>
      </c>
      <c r="AE56">
        <f t="shared" si="8"/>
        <v>1360.8000000000002</v>
      </c>
      <c r="AF56" s="18">
        <f t="shared" si="9"/>
        <v>4.0987951807228917</v>
      </c>
      <c r="AH56">
        <v>105</v>
      </c>
      <c r="AI56">
        <v>196</v>
      </c>
      <c r="AJ56">
        <v>185</v>
      </c>
      <c r="AK56">
        <v>0</v>
      </c>
      <c r="AL56">
        <v>189</v>
      </c>
      <c r="AM56">
        <v>11</v>
      </c>
      <c r="AN56">
        <v>0</v>
      </c>
      <c r="AO56">
        <v>181</v>
      </c>
      <c r="AP56">
        <f t="shared" si="10"/>
        <v>11</v>
      </c>
      <c r="AQ56" s="17">
        <f t="shared" si="11"/>
        <v>0.97837837837837838</v>
      </c>
      <c r="AR56" s="18">
        <f>VLOOKUP($AH$8, 'Other Lists'!$B$13:$H$15, 7, FALSE)</f>
        <v>184</v>
      </c>
      <c r="AS56" s="18">
        <f>VLOOKUP($AH$8, 'Other Lists'!$B$13:$F$15, 5, FALSE)</f>
        <v>129</v>
      </c>
      <c r="AT56" s="18">
        <f>VLOOKUP($AH$8, 'Other Lists'!$B$13:$G$15, 6, FALSE)</f>
        <v>36</v>
      </c>
      <c r="AU56" s="18">
        <f t="shared" si="12"/>
        <v>165</v>
      </c>
      <c r="AV56" s="18">
        <f>VLOOKUP($AH$84, 'Other Lists'!$B$13:$H$15, 7, FALSE) *AO56</f>
        <v>33304</v>
      </c>
      <c r="AW56" s="18">
        <f t="shared" si="13"/>
        <v>30525</v>
      </c>
      <c r="AX56" s="18">
        <f t="shared" si="14"/>
        <v>2779</v>
      </c>
      <c r="AY56" s="18">
        <f t="shared" si="15"/>
        <v>736</v>
      </c>
      <c r="AZ56">
        <v>7</v>
      </c>
      <c r="BA56">
        <v>7</v>
      </c>
      <c r="BB56">
        <v>0</v>
      </c>
      <c r="BC56">
        <v>4</v>
      </c>
      <c r="BD56">
        <f t="shared" si="16"/>
        <v>1</v>
      </c>
      <c r="BE56">
        <f>VLOOKUP($BE$6, 'Other Lists'!$B$27:$H$32, 7, FALSE) *BB56*8</f>
        <v>0</v>
      </c>
      <c r="BF56">
        <f>VLOOKUP($BF$6, 'Other Lists'!$B$27:$H$32, 7, FALSE) * BC56 * 8</f>
        <v>1123.2</v>
      </c>
      <c r="BG56">
        <f>VLOOKUP($BG$6, 'Other Lists'!$B$27:$H$32, 7, FALSE) * BD56 * 8</f>
        <v>259.2</v>
      </c>
      <c r="BH56">
        <f t="shared" si="17"/>
        <v>1641.6</v>
      </c>
      <c r="BI56">
        <f t="shared" si="18"/>
        <v>8.8735135135135135</v>
      </c>
      <c r="BK56">
        <v>2</v>
      </c>
      <c r="BL56">
        <v>2</v>
      </c>
      <c r="BM56">
        <f>VLOOKUP($BM$6, 'Other Lists'!$B$27:$H$32, 7, FALSE) * BK56 * 8</f>
        <v>648</v>
      </c>
      <c r="BN56">
        <f>VLOOKUP($BN$6, 'Other Lists'!$B$27:$H$32, 7, FALSE) * BL56 * 8</f>
        <v>648</v>
      </c>
      <c r="BO56">
        <f t="shared" si="19"/>
        <v>2937.6</v>
      </c>
    </row>
    <row r="57" spans="2:67">
      <c r="B57">
        <v>209</v>
      </c>
      <c r="C57" s="15">
        <v>45343</v>
      </c>
      <c r="D57">
        <f t="shared" si="0"/>
        <v>4</v>
      </c>
      <c r="E57">
        <v>2</v>
      </c>
      <c r="F57">
        <v>119</v>
      </c>
      <c r="G57">
        <v>953</v>
      </c>
      <c r="H57">
        <v>778</v>
      </c>
      <c r="I57">
        <v>0</v>
      </c>
      <c r="J57">
        <v>874.99999999999989</v>
      </c>
      <c r="K57">
        <v>175</v>
      </c>
      <c r="L57">
        <v>0</v>
      </c>
      <c r="M57">
        <v>762</v>
      </c>
      <c r="N57">
        <f t="shared" si="1"/>
        <v>175</v>
      </c>
      <c r="O57" s="17">
        <f t="shared" si="2"/>
        <v>0.97943444730077123</v>
      </c>
      <c r="P57" s="19">
        <f>VLOOKUP(F57, 'Other Lists'!$B$13:$H$154, 7, FALSE)</f>
        <v>32</v>
      </c>
      <c r="Q57" s="18">
        <f>VLOOKUP(F57, 'Other Lists'!$B$13:$F$15, 5, FALSE)</f>
        <v>17.8</v>
      </c>
      <c r="R57" s="18">
        <f>VLOOKUP(F57, 'Other Lists'!$B$13:$G$15, 6, FALSE)</f>
        <v>11</v>
      </c>
      <c r="S57" s="18">
        <f t="shared" si="3"/>
        <v>28.8</v>
      </c>
      <c r="T57">
        <f>VLOOKUP(F57, 'Other Lists'!$B$13:$H$15, 7, FALSE) * M57</f>
        <v>24384</v>
      </c>
      <c r="U57">
        <f t="shared" si="4"/>
        <v>22406.400000000001</v>
      </c>
      <c r="V57">
        <f t="shared" si="5"/>
        <v>1977.5999999999985</v>
      </c>
      <c r="W57">
        <f t="shared" si="6"/>
        <v>512</v>
      </c>
      <c r="X57">
        <v>5</v>
      </c>
      <c r="Y57">
        <v>1</v>
      </c>
      <c r="Z57">
        <v>3</v>
      </c>
      <c r="AA57">
        <f t="shared" si="7"/>
        <v>0</v>
      </c>
      <c r="AB57">
        <f>VLOOKUP($AB$6, 'Other Lists'!$B$27:$H$32, 7, FALSE) *Y57*8</f>
        <v>194.4</v>
      </c>
      <c r="AC57">
        <f>VLOOKUP($AC$6, 'Other Lists'!$B$27:$H$32, 7, FALSE) * Z57 * 8</f>
        <v>842.40000000000009</v>
      </c>
      <c r="AD57">
        <f>VLOOKUP($AD$6, 'Other Lists'!$B$27:$H$32, 7, FALSE) * AA57 * 8</f>
        <v>0</v>
      </c>
      <c r="AE57">
        <f t="shared" si="8"/>
        <v>1360.8000000000002</v>
      </c>
      <c r="AF57" s="18">
        <f t="shared" si="9"/>
        <v>1.749100257069409</v>
      </c>
      <c r="AH57">
        <v>105</v>
      </c>
      <c r="AI57">
        <v>200</v>
      </c>
      <c r="AJ57">
        <v>187</v>
      </c>
      <c r="AK57">
        <v>0</v>
      </c>
      <c r="AL57">
        <v>189</v>
      </c>
      <c r="AM57">
        <v>13</v>
      </c>
      <c r="AN57">
        <v>0</v>
      </c>
      <c r="AO57">
        <v>175</v>
      </c>
      <c r="AP57">
        <f t="shared" si="10"/>
        <v>13</v>
      </c>
      <c r="AQ57" s="17">
        <f t="shared" si="11"/>
        <v>0.93582887700534756</v>
      </c>
      <c r="AR57" s="18">
        <f>VLOOKUP($AH$8, 'Other Lists'!$B$13:$H$15, 7, FALSE)</f>
        <v>184</v>
      </c>
      <c r="AS57" s="18">
        <f>VLOOKUP($AH$8, 'Other Lists'!$B$13:$F$15, 5, FALSE)</f>
        <v>129</v>
      </c>
      <c r="AT57" s="18">
        <f>VLOOKUP($AH$8, 'Other Lists'!$B$13:$G$15, 6, FALSE)</f>
        <v>36</v>
      </c>
      <c r="AU57" s="18">
        <f t="shared" si="12"/>
        <v>165</v>
      </c>
      <c r="AV57" s="18">
        <f>VLOOKUP($AH$84, 'Other Lists'!$B$13:$H$15, 7, FALSE) *AO57</f>
        <v>32200</v>
      </c>
      <c r="AW57" s="18">
        <f t="shared" si="13"/>
        <v>30855</v>
      </c>
      <c r="AX57" s="18">
        <f t="shared" si="14"/>
        <v>1345</v>
      </c>
      <c r="AY57" s="18">
        <f t="shared" si="15"/>
        <v>2208</v>
      </c>
      <c r="AZ57">
        <v>7</v>
      </c>
      <c r="BA57">
        <v>7</v>
      </c>
      <c r="BB57">
        <v>0</v>
      </c>
      <c r="BC57">
        <v>4</v>
      </c>
      <c r="BD57">
        <f t="shared" si="16"/>
        <v>1</v>
      </c>
      <c r="BE57">
        <f>VLOOKUP($BE$6, 'Other Lists'!$B$27:$H$32, 7, FALSE) *BB57*8</f>
        <v>0</v>
      </c>
      <c r="BF57">
        <f>VLOOKUP($BF$6, 'Other Lists'!$B$27:$H$32, 7, FALSE) * BC57 * 8</f>
        <v>1123.2</v>
      </c>
      <c r="BG57">
        <f>VLOOKUP($BG$6, 'Other Lists'!$B$27:$H$32, 7, FALSE) * BD57 * 8</f>
        <v>259.2</v>
      </c>
      <c r="BH57">
        <f t="shared" si="17"/>
        <v>1641.6</v>
      </c>
      <c r="BI57">
        <f t="shared" si="18"/>
        <v>8.778609625668448</v>
      </c>
      <c r="BK57">
        <v>2</v>
      </c>
      <c r="BL57">
        <v>2</v>
      </c>
      <c r="BM57">
        <f>VLOOKUP($BM$6, 'Other Lists'!$B$27:$H$32, 7, FALSE) * BK57 * 8</f>
        <v>648</v>
      </c>
      <c r="BN57">
        <f>VLOOKUP($BN$6, 'Other Lists'!$B$27:$H$32, 7, FALSE) * BL57 * 8</f>
        <v>648</v>
      </c>
      <c r="BO57">
        <f t="shared" si="19"/>
        <v>2937.6</v>
      </c>
    </row>
    <row r="58" spans="2:67">
      <c r="B58">
        <v>210</v>
      </c>
      <c r="C58" s="15">
        <v>45344</v>
      </c>
      <c r="D58">
        <f t="shared" si="0"/>
        <v>5</v>
      </c>
      <c r="E58">
        <v>2</v>
      </c>
      <c r="F58">
        <v>201</v>
      </c>
      <c r="G58">
        <v>336</v>
      </c>
      <c r="H58">
        <v>271</v>
      </c>
      <c r="I58">
        <v>0</v>
      </c>
      <c r="J58">
        <v>350</v>
      </c>
      <c r="K58">
        <v>65</v>
      </c>
      <c r="L58">
        <v>0</v>
      </c>
      <c r="M58">
        <v>265</v>
      </c>
      <c r="N58">
        <f t="shared" si="1"/>
        <v>65</v>
      </c>
      <c r="O58" s="17">
        <f t="shared" si="2"/>
        <v>0.97785977859778594</v>
      </c>
      <c r="P58" s="19">
        <f>VLOOKUP(F58, 'Other Lists'!$B$13:$H$154, 7, FALSE)</f>
        <v>71</v>
      </c>
      <c r="Q58" s="18">
        <f>VLOOKUP(F58, 'Other Lists'!$B$13:$F$15, 5, FALSE)</f>
        <v>32.6</v>
      </c>
      <c r="R58" s="18">
        <f>VLOOKUP(F58, 'Other Lists'!$B$13:$G$15, 6, FALSE)</f>
        <v>16.5</v>
      </c>
      <c r="S58" s="18">
        <f t="shared" si="3"/>
        <v>49.1</v>
      </c>
      <c r="T58">
        <f>VLOOKUP(F58, 'Other Lists'!$B$13:$H$15, 7, FALSE) * M58</f>
        <v>18815</v>
      </c>
      <c r="U58">
        <f t="shared" si="4"/>
        <v>13306.1</v>
      </c>
      <c r="V58">
        <f t="shared" si="5"/>
        <v>5508.9</v>
      </c>
      <c r="W58">
        <f t="shared" si="6"/>
        <v>426</v>
      </c>
      <c r="X58">
        <v>4</v>
      </c>
      <c r="Y58">
        <v>0</v>
      </c>
      <c r="Z58">
        <v>3</v>
      </c>
      <c r="AA58">
        <f t="shared" si="7"/>
        <v>0</v>
      </c>
      <c r="AB58">
        <f>VLOOKUP($AB$6, 'Other Lists'!$B$27:$H$32, 7, FALSE) *Y58*8</f>
        <v>0</v>
      </c>
      <c r="AC58">
        <f>VLOOKUP($AC$6, 'Other Lists'!$B$27:$H$32, 7, FALSE) * Z58 * 8</f>
        <v>842.40000000000009</v>
      </c>
      <c r="AD58">
        <f>VLOOKUP($AD$6, 'Other Lists'!$B$27:$H$32, 7, FALSE) * AA58 * 8</f>
        <v>0</v>
      </c>
      <c r="AE58">
        <f t="shared" si="8"/>
        <v>1360.8000000000002</v>
      </c>
      <c r="AF58" s="18">
        <f t="shared" si="9"/>
        <v>5.0214022140221406</v>
      </c>
      <c r="AH58">
        <v>105</v>
      </c>
      <c r="AI58">
        <v>204</v>
      </c>
      <c r="AJ58">
        <v>196</v>
      </c>
      <c r="AK58">
        <v>0</v>
      </c>
      <c r="AL58">
        <v>189</v>
      </c>
      <c r="AM58">
        <v>8</v>
      </c>
      <c r="AN58">
        <v>0</v>
      </c>
      <c r="AO58">
        <v>184</v>
      </c>
      <c r="AP58">
        <f t="shared" si="10"/>
        <v>8</v>
      </c>
      <c r="AQ58" s="17">
        <f t="shared" si="11"/>
        <v>0.93877551020408168</v>
      </c>
      <c r="AR58" s="18">
        <f>VLOOKUP($AH$8, 'Other Lists'!$B$13:$H$15, 7, FALSE)</f>
        <v>184</v>
      </c>
      <c r="AS58" s="18">
        <f>VLOOKUP($AH$8, 'Other Lists'!$B$13:$F$15, 5, FALSE)</f>
        <v>129</v>
      </c>
      <c r="AT58" s="18">
        <f>VLOOKUP($AH$8, 'Other Lists'!$B$13:$G$15, 6, FALSE)</f>
        <v>36</v>
      </c>
      <c r="AU58" s="18">
        <f t="shared" si="12"/>
        <v>165</v>
      </c>
      <c r="AV58" s="18">
        <f>VLOOKUP($AH$84, 'Other Lists'!$B$13:$H$15, 7, FALSE) *AO58</f>
        <v>33856</v>
      </c>
      <c r="AW58" s="18">
        <f t="shared" si="13"/>
        <v>32340</v>
      </c>
      <c r="AX58" s="18">
        <f t="shared" si="14"/>
        <v>1516</v>
      </c>
      <c r="AY58" s="18">
        <f t="shared" si="15"/>
        <v>2208</v>
      </c>
      <c r="AZ58">
        <v>7</v>
      </c>
      <c r="BA58">
        <v>7</v>
      </c>
      <c r="BB58">
        <v>0</v>
      </c>
      <c r="BC58">
        <v>3</v>
      </c>
      <c r="BD58">
        <f t="shared" si="16"/>
        <v>2</v>
      </c>
      <c r="BE58">
        <f>VLOOKUP($BE$6, 'Other Lists'!$B$27:$H$32, 7, FALSE) *BB58*8</f>
        <v>0</v>
      </c>
      <c r="BF58">
        <f>VLOOKUP($BF$6, 'Other Lists'!$B$27:$H$32, 7, FALSE) * BC58 * 8</f>
        <v>842.40000000000009</v>
      </c>
      <c r="BG58">
        <f>VLOOKUP($BG$6, 'Other Lists'!$B$27:$H$32, 7, FALSE) * BD58 * 8</f>
        <v>518.4</v>
      </c>
      <c r="BH58">
        <f t="shared" si="17"/>
        <v>1641.6</v>
      </c>
      <c r="BI58">
        <f t="shared" si="18"/>
        <v>8.3755102040816318</v>
      </c>
      <c r="BK58">
        <v>2</v>
      </c>
      <c r="BL58">
        <v>2</v>
      </c>
      <c r="BM58">
        <f>VLOOKUP($BM$6, 'Other Lists'!$B$27:$H$32, 7, FALSE) * BK58 * 8</f>
        <v>648</v>
      </c>
      <c r="BN58">
        <f>VLOOKUP($BN$6, 'Other Lists'!$B$27:$H$32, 7, FALSE) * BL58 * 8</f>
        <v>648</v>
      </c>
      <c r="BO58">
        <f t="shared" si="19"/>
        <v>2937.6</v>
      </c>
    </row>
    <row r="59" spans="2:67">
      <c r="B59">
        <v>211</v>
      </c>
      <c r="C59" s="15">
        <v>45345</v>
      </c>
      <c r="D59">
        <f t="shared" si="0"/>
        <v>6</v>
      </c>
      <c r="E59">
        <v>2</v>
      </c>
      <c r="F59">
        <v>119</v>
      </c>
      <c r="G59">
        <v>787</v>
      </c>
      <c r="H59">
        <v>787</v>
      </c>
      <c r="I59">
        <v>0</v>
      </c>
      <c r="J59">
        <v>874.99999999999989</v>
      </c>
      <c r="K59">
        <v>0</v>
      </c>
      <c r="L59">
        <v>0</v>
      </c>
      <c r="M59">
        <v>763</v>
      </c>
      <c r="N59">
        <f t="shared" si="1"/>
        <v>0</v>
      </c>
      <c r="O59" s="17">
        <f t="shared" si="2"/>
        <v>0.96950444726810669</v>
      </c>
      <c r="P59" s="19">
        <f>VLOOKUP(F59, 'Other Lists'!$B$13:$H$154, 7, FALSE)</f>
        <v>32</v>
      </c>
      <c r="Q59" s="18">
        <f>VLOOKUP(F59, 'Other Lists'!$B$13:$F$15, 5, FALSE)</f>
        <v>17.8</v>
      </c>
      <c r="R59" s="18">
        <f>VLOOKUP(F59, 'Other Lists'!$B$13:$G$15, 6, FALSE)</f>
        <v>11</v>
      </c>
      <c r="S59" s="18">
        <f t="shared" si="3"/>
        <v>28.8</v>
      </c>
      <c r="T59">
        <f>VLOOKUP(F59, 'Other Lists'!$B$13:$H$15, 7, FALSE) * M59</f>
        <v>24416</v>
      </c>
      <c r="U59">
        <f t="shared" si="4"/>
        <v>22665.600000000002</v>
      </c>
      <c r="V59">
        <f t="shared" si="5"/>
        <v>1750.3999999999978</v>
      </c>
      <c r="W59">
        <f t="shared" si="6"/>
        <v>768</v>
      </c>
      <c r="X59">
        <v>5</v>
      </c>
      <c r="Y59">
        <v>0</v>
      </c>
      <c r="Z59">
        <v>3</v>
      </c>
      <c r="AA59">
        <f t="shared" si="7"/>
        <v>1</v>
      </c>
      <c r="AB59">
        <f>VLOOKUP($AB$6, 'Other Lists'!$B$27:$H$32, 7, FALSE) *Y59*8</f>
        <v>0</v>
      </c>
      <c r="AC59">
        <f>VLOOKUP($AC$6, 'Other Lists'!$B$27:$H$32, 7, FALSE) * Z59 * 8</f>
        <v>842.40000000000009</v>
      </c>
      <c r="AD59">
        <f>VLOOKUP($AD$6, 'Other Lists'!$B$27:$H$32, 7, FALSE) * AA59 * 8</f>
        <v>259.2</v>
      </c>
      <c r="AE59">
        <f t="shared" si="8"/>
        <v>1360.8000000000002</v>
      </c>
      <c r="AF59" s="18">
        <f t="shared" si="9"/>
        <v>1.7290978398983483</v>
      </c>
      <c r="AH59">
        <v>105</v>
      </c>
      <c r="AI59">
        <v>170</v>
      </c>
      <c r="AJ59">
        <v>170</v>
      </c>
      <c r="AK59">
        <v>0</v>
      </c>
      <c r="AL59">
        <v>189</v>
      </c>
      <c r="AM59">
        <v>0</v>
      </c>
      <c r="AN59">
        <v>0</v>
      </c>
      <c r="AO59">
        <v>158</v>
      </c>
      <c r="AP59">
        <f t="shared" si="10"/>
        <v>0</v>
      </c>
      <c r="AQ59" s="17">
        <f t="shared" si="11"/>
        <v>0.92941176470588238</v>
      </c>
      <c r="AR59" s="18">
        <f>VLOOKUP($AH$8, 'Other Lists'!$B$13:$H$15, 7, FALSE)</f>
        <v>184</v>
      </c>
      <c r="AS59" s="18">
        <f>VLOOKUP($AH$8, 'Other Lists'!$B$13:$F$15, 5, FALSE)</f>
        <v>129</v>
      </c>
      <c r="AT59" s="18">
        <f>VLOOKUP($AH$8, 'Other Lists'!$B$13:$G$15, 6, FALSE)</f>
        <v>36</v>
      </c>
      <c r="AU59" s="18">
        <f t="shared" si="12"/>
        <v>165</v>
      </c>
      <c r="AV59" s="18">
        <f>VLOOKUP($AH$84, 'Other Lists'!$B$13:$H$15, 7, FALSE) *AO59</f>
        <v>29072</v>
      </c>
      <c r="AW59" s="18">
        <f t="shared" si="13"/>
        <v>28050</v>
      </c>
      <c r="AX59" s="18">
        <f t="shared" si="14"/>
        <v>1022</v>
      </c>
      <c r="AY59" s="18">
        <f t="shared" si="15"/>
        <v>2208</v>
      </c>
      <c r="AZ59">
        <v>7</v>
      </c>
      <c r="BA59">
        <v>7</v>
      </c>
      <c r="BB59">
        <v>1</v>
      </c>
      <c r="BC59">
        <v>3</v>
      </c>
      <c r="BD59">
        <f t="shared" si="16"/>
        <v>1</v>
      </c>
      <c r="BE59">
        <f>VLOOKUP($BE$6, 'Other Lists'!$B$27:$H$32, 7, FALSE) *BB59*8</f>
        <v>194.4</v>
      </c>
      <c r="BF59">
        <f>VLOOKUP($BF$6, 'Other Lists'!$B$27:$H$32, 7, FALSE) * BC59 * 8</f>
        <v>842.40000000000009</v>
      </c>
      <c r="BG59">
        <f>VLOOKUP($BG$6, 'Other Lists'!$B$27:$H$32, 7, FALSE) * BD59 * 8</f>
        <v>259.2</v>
      </c>
      <c r="BH59">
        <f t="shared" si="17"/>
        <v>1641.6</v>
      </c>
      <c r="BI59">
        <f t="shared" si="18"/>
        <v>9.6564705882352939</v>
      </c>
      <c r="BK59">
        <v>2</v>
      </c>
      <c r="BL59">
        <v>2</v>
      </c>
      <c r="BM59">
        <f>VLOOKUP($BM$6, 'Other Lists'!$B$27:$H$32, 7, FALSE) * BK59 * 8</f>
        <v>648</v>
      </c>
      <c r="BN59">
        <f>VLOOKUP($BN$6, 'Other Lists'!$B$27:$H$32, 7, FALSE) * BL59 * 8</f>
        <v>648</v>
      </c>
      <c r="BO59">
        <f t="shared" si="19"/>
        <v>2937.6</v>
      </c>
    </row>
    <row r="60" spans="2:67">
      <c r="B60">
        <v>212</v>
      </c>
      <c r="C60" s="15">
        <v>45346</v>
      </c>
      <c r="D60">
        <f t="shared" si="0"/>
        <v>7</v>
      </c>
      <c r="E60">
        <v>2</v>
      </c>
      <c r="F60">
        <v>201</v>
      </c>
      <c r="G60">
        <v>395</v>
      </c>
      <c r="H60">
        <v>318</v>
      </c>
      <c r="I60">
        <v>0</v>
      </c>
      <c r="J60">
        <v>350</v>
      </c>
      <c r="K60">
        <v>77</v>
      </c>
      <c r="L60">
        <v>0</v>
      </c>
      <c r="M60">
        <v>305</v>
      </c>
      <c r="N60">
        <f t="shared" si="1"/>
        <v>77</v>
      </c>
      <c r="O60" s="17">
        <f t="shared" si="2"/>
        <v>0.95911949685534592</v>
      </c>
      <c r="P60" s="19">
        <f>VLOOKUP(F60, 'Other Lists'!$B$13:$H$154, 7, FALSE)</f>
        <v>71</v>
      </c>
      <c r="Q60" s="18">
        <f>VLOOKUP(F60, 'Other Lists'!$B$13:$F$15, 5, FALSE)</f>
        <v>32.6</v>
      </c>
      <c r="R60" s="18">
        <f>VLOOKUP(F60, 'Other Lists'!$B$13:$G$15, 6, FALSE)</f>
        <v>16.5</v>
      </c>
      <c r="S60" s="18">
        <f t="shared" si="3"/>
        <v>49.1</v>
      </c>
      <c r="T60">
        <f>VLOOKUP(F60, 'Other Lists'!$B$13:$H$15, 7, FALSE) * M60</f>
        <v>21655</v>
      </c>
      <c r="U60">
        <f t="shared" si="4"/>
        <v>15613.800000000001</v>
      </c>
      <c r="V60">
        <f t="shared" si="5"/>
        <v>6041.1999999999989</v>
      </c>
      <c r="W60">
        <f t="shared" si="6"/>
        <v>923</v>
      </c>
      <c r="X60">
        <v>5</v>
      </c>
      <c r="Y60">
        <v>1</v>
      </c>
      <c r="Z60">
        <v>4</v>
      </c>
      <c r="AA60">
        <f t="shared" si="7"/>
        <v>-1</v>
      </c>
      <c r="AB60">
        <f>VLOOKUP($AB$6, 'Other Lists'!$B$27:$H$32, 7, FALSE) *Y60*8</f>
        <v>194.4</v>
      </c>
      <c r="AC60">
        <f>VLOOKUP($AC$6, 'Other Lists'!$B$27:$H$32, 7, FALSE) * Z60 * 8</f>
        <v>1123.2</v>
      </c>
      <c r="AD60">
        <f>VLOOKUP($AD$6, 'Other Lists'!$B$27:$H$32, 7, FALSE) * AA60 * 8</f>
        <v>-259.2</v>
      </c>
      <c r="AE60">
        <f t="shared" si="8"/>
        <v>1360.8000000000002</v>
      </c>
      <c r="AF60" s="18">
        <f t="shared" si="9"/>
        <v>4.2792452830188683</v>
      </c>
      <c r="AH60">
        <v>105</v>
      </c>
      <c r="AI60">
        <v>204</v>
      </c>
      <c r="AJ60">
        <v>196</v>
      </c>
      <c r="AK60">
        <v>0</v>
      </c>
      <c r="AL60">
        <v>189</v>
      </c>
      <c r="AM60">
        <v>8</v>
      </c>
      <c r="AN60">
        <v>0</v>
      </c>
      <c r="AO60">
        <v>188</v>
      </c>
      <c r="AP60">
        <f t="shared" si="10"/>
        <v>8</v>
      </c>
      <c r="AQ60" s="17">
        <f t="shared" si="11"/>
        <v>0.95918367346938771</v>
      </c>
      <c r="AR60" s="18">
        <f>VLOOKUP($AH$8, 'Other Lists'!$B$13:$H$15, 7, FALSE)</f>
        <v>184</v>
      </c>
      <c r="AS60" s="18">
        <f>VLOOKUP($AH$8, 'Other Lists'!$B$13:$F$15, 5, FALSE)</f>
        <v>129</v>
      </c>
      <c r="AT60" s="18">
        <f>VLOOKUP($AH$8, 'Other Lists'!$B$13:$G$15, 6, FALSE)</f>
        <v>36</v>
      </c>
      <c r="AU60" s="18">
        <f t="shared" si="12"/>
        <v>165</v>
      </c>
      <c r="AV60" s="18">
        <f>VLOOKUP($AH$84, 'Other Lists'!$B$13:$H$15, 7, FALSE) *AO60</f>
        <v>34592</v>
      </c>
      <c r="AW60" s="18">
        <f t="shared" si="13"/>
        <v>32340</v>
      </c>
      <c r="AX60" s="18">
        <f t="shared" si="14"/>
        <v>2252</v>
      </c>
      <c r="AY60" s="18">
        <f t="shared" si="15"/>
        <v>1472</v>
      </c>
      <c r="AZ60">
        <v>7</v>
      </c>
      <c r="BA60">
        <v>7</v>
      </c>
      <c r="BB60">
        <v>0</v>
      </c>
      <c r="BC60">
        <v>4</v>
      </c>
      <c r="BD60">
        <f t="shared" si="16"/>
        <v>1</v>
      </c>
      <c r="BE60">
        <f>VLOOKUP($BE$6, 'Other Lists'!$B$27:$H$32, 7, FALSE) *BB60*8</f>
        <v>0</v>
      </c>
      <c r="BF60">
        <f>VLOOKUP($BF$6, 'Other Lists'!$B$27:$H$32, 7, FALSE) * BC60 * 8</f>
        <v>1123.2</v>
      </c>
      <c r="BG60">
        <f>VLOOKUP($BG$6, 'Other Lists'!$B$27:$H$32, 7, FALSE) * BD60 * 8</f>
        <v>259.2</v>
      </c>
      <c r="BH60">
        <f t="shared" si="17"/>
        <v>1641.6</v>
      </c>
      <c r="BI60">
        <f t="shared" si="18"/>
        <v>8.3755102040816318</v>
      </c>
      <c r="BK60">
        <v>2</v>
      </c>
      <c r="BL60">
        <v>2</v>
      </c>
      <c r="BM60">
        <f>VLOOKUP($BM$6, 'Other Lists'!$B$27:$H$32, 7, FALSE) * BK60 * 8</f>
        <v>648</v>
      </c>
      <c r="BN60">
        <f>VLOOKUP($BN$6, 'Other Lists'!$B$27:$H$32, 7, FALSE) * BL60 * 8</f>
        <v>648</v>
      </c>
      <c r="BO60">
        <f t="shared" si="19"/>
        <v>2937.6</v>
      </c>
    </row>
    <row r="61" spans="2:67">
      <c r="B61">
        <v>213</v>
      </c>
      <c r="C61" s="15">
        <v>45347</v>
      </c>
      <c r="D61">
        <f t="shared" si="0"/>
        <v>1</v>
      </c>
      <c r="E61">
        <v>2</v>
      </c>
      <c r="F61">
        <v>119</v>
      </c>
      <c r="G61">
        <v>322</v>
      </c>
      <c r="H61">
        <v>322</v>
      </c>
      <c r="I61">
        <v>0</v>
      </c>
      <c r="J61">
        <v>349.99999999999994</v>
      </c>
      <c r="K61">
        <v>0</v>
      </c>
      <c r="L61">
        <v>0</v>
      </c>
      <c r="M61">
        <v>315</v>
      </c>
      <c r="N61">
        <f t="shared" si="1"/>
        <v>0</v>
      </c>
      <c r="O61" s="17">
        <f t="shared" si="2"/>
        <v>0.97826086956521741</v>
      </c>
      <c r="P61" s="19">
        <f>VLOOKUP(F61, 'Other Lists'!$B$13:$H$154, 7, FALSE)</f>
        <v>32</v>
      </c>
      <c r="Q61" s="18">
        <f>VLOOKUP(F61, 'Other Lists'!$B$13:$F$15, 5, FALSE)</f>
        <v>17.8</v>
      </c>
      <c r="R61" s="18">
        <f>VLOOKUP(F61, 'Other Lists'!$B$13:$G$15, 6, FALSE)</f>
        <v>11</v>
      </c>
      <c r="S61" s="18">
        <f t="shared" si="3"/>
        <v>28.8</v>
      </c>
      <c r="T61">
        <f>VLOOKUP(F61, 'Other Lists'!$B$13:$H$15, 7, FALSE) * M61</f>
        <v>10080</v>
      </c>
      <c r="U61">
        <f t="shared" si="4"/>
        <v>9273.6</v>
      </c>
      <c r="V61">
        <f t="shared" si="5"/>
        <v>806.39999999999964</v>
      </c>
      <c r="W61">
        <f t="shared" si="6"/>
        <v>224</v>
      </c>
      <c r="X61">
        <v>2</v>
      </c>
      <c r="Y61">
        <v>0</v>
      </c>
      <c r="Z61">
        <v>1</v>
      </c>
      <c r="AA61">
        <f t="shared" si="7"/>
        <v>0</v>
      </c>
      <c r="AB61">
        <f>VLOOKUP($AB$6, 'Other Lists'!$B$27:$H$32, 7, FALSE) *Y61*8</f>
        <v>0</v>
      </c>
      <c r="AC61">
        <f>VLOOKUP($AC$6, 'Other Lists'!$B$27:$H$32, 7, FALSE) * Z61 * 8</f>
        <v>280.8</v>
      </c>
      <c r="AD61">
        <f>VLOOKUP($AD$6, 'Other Lists'!$B$27:$H$32, 7, FALSE) * AA61 * 8</f>
        <v>0</v>
      </c>
      <c r="AE61">
        <f t="shared" si="8"/>
        <v>1360.8000000000002</v>
      </c>
      <c r="AF61" s="18">
        <f t="shared" si="9"/>
        <v>4.2260869565217396</v>
      </c>
      <c r="AH61">
        <v>105</v>
      </c>
      <c r="AI61">
        <v>69</v>
      </c>
      <c r="AJ61">
        <v>69</v>
      </c>
      <c r="AK61">
        <v>0</v>
      </c>
      <c r="AL61">
        <v>81</v>
      </c>
      <c r="AM61">
        <v>0</v>
      </c>
      <c r="AN61">
        <v>0</v>
      </c>
      <c r="AO61">
        <v>64</v>
      </c>
      <c r="AP61">
        <f t="shared" si="10"/>
        <v>0</v>
      </c>
      <c r="AQ61" s="17">
        <f t="shared" si="11"/>
        <v>0.92753623188405798</v>
      </c>
      <c r="AR61" s="18">
        <f>VLOOKUP($AH$8, 'Other Lists'!$B$13:$H$15, 7, FALSE)</f>
        <v>184</v>
      </c>
      <c r="AS61" s="18">
        <f>VLOOKUP($AH$8, 'Other Lists'!$B$13:$F$15, 5, FALSE)</f>
        <v>129</v>
      </c>
      <c r="AT61" s="18">
        <f>VLOOKUP($AH$8, 'Other Lists'!$B$13:$G$15, 6, FALSE)</f>
        <v>36</v>
      </c>
      <c r="AU61" s="18">
        <f t="shared" si="12"/>
        <v>165</v>
      </c>
      <c r="AV61" s="18">
        <f>VLOOKUP($AH$84, 'Other Lists'!$B$13:$H$15, 7, FALSE) *AO61</f>
        <v>11776</v>
      </c>
      <c r="AW61" s="18">
        <f t="shared" si="13"/>
        <v>11385</v>
      </c>
      <c r="AX61" s="18">
        <f t="shared" si="14"/>
        <v>391</v>
      </c>
      <c r="AY61" s="18">
        <f t="shared" si="15"/>
        <v>920</v>
      </c>
      <c r="AZ61">
        <v>3</v>
      </c>
      <c r="BA61">
        <v>3</v>
      </c>
      <c r="BB61">
        <v>0</v>
      </c>
      <c r="BC61">
        <v>1</v>
      </c>
      <c r="BD61">
        <f t="shared" si="16"/>
        <v>1</v>
      </c>
      <c r="BE61">
        <f>VLOOKUP($BE$6, 'Other Lists'!$B$27:$H$32, 7, FALSE) *BB61*8</f>
        <v>0</v>
      </c>
      <c r="BF61">
        <f>VLOOKUP($BF$6, 'Other Lists'!$B$27:$H$32, 7, FALSE) * BC61 * 8</f>
        <v>280.8</v>
      </c>
      <c r="BG61">
        <f>VLOOKUP($BG$6, 'Other Lists'!$B$27:$H$32, 7, FALSE) * BD61 * 8</f>
        <v>259.2</v>
      </c>
      <c r="BH61">
        <f t="shared" si="17"/>
        <v>1641.6</v>
      </c>
      <c r="BI61">
        <f t="shared" si="18"/>
        <v>23.791304347826085</v>
      </c>
      <c r="BK61">
        <v>1</v>
      </c>
      <c r="BL61">
        <v>1</v>
      </c>
      <c r="BM61">
        <f>VLOOKUP($BM$6, 'Other Lists'!$B$27:$H$32, 7, FALSE) * BK61 * 8</f>
        <v>324</v>
      </c>
      <c r="BN61">
        <f>VLOOKUP($BN$6, 'Other Lists'!$B$27:$H$32, 7, FALSE) * BL61 * 8</f>
        <v>324</v>
      </c>
      <c r="BO61">
        <f t="shared" si="19"/>
        <v>2289.6</v>
      </c>
    </row>
    <row r="62" spans="2:67">
      <c r="B62">
        <v>214</v>
      </c>
      <c r="C62" s="15">
        <v>45348</v>
      </c>
      <c r="D62">
        <f t="shared" si="0"/>
        <v>2</v>
      </c>
      <c r="E62">
        <v>2</v>
      </c>
      <c r="F62">
        <v>119</v>
      </c>
      <c r="G62">
        <v>311</v>
      </c>
      <c r="H62">
        <v>311</v>
      </c>
      <c r="I62">
        <v>0</v>
      </c>
      <c r="J62">
        <v>349.99999999999994</v>
      </c>
      <c r="K62">
        <v>0</v>
      </c>
      <c r="L62">
        <v>0</v>
      </c>
      <c r="M62">
        <v>298</v>
      </c>
      <c r="N62">
        <f t="shared" si="1"/>
        <v>0</v>
      </c>
      <c r="O62" s="17">
        <f t="shared" si="2"/>
        <v>0.95819935691318325</v>
      </c>
      <c r="P62" s="19">
        <f>VLOOKUP(F62, 'Other Lists'!$B$13:$H$154, 7, FALSE)</f>
        <v>32</v>
      </c>
      <c r="Q62" s="18">
        <f>VLOOKUP(F62, 'Other Lists'!$B$13:$F$15, 5, FALSE)</f>
        <v>17.8</v>
      </c>
      <c r="R62" s="18">
        <f>VLOOKUP(F62, 'Other Lists'!$B$13:$G$15, 6, FALSE)</f>
        <v>11</v>
      </c>
      <c r="S62" s="18">
        <f t="shared" si="3"/>
        <v>28.8</v>
      </c>
      <c r="T62">
        <f>VLOOKUP(F62, 'Other Lists'!$B$13:$H$15, 7, FALSE) * M62</f>
        <v>9536</v>
      </c>
      <c r="U62">
        <f t="shared" si="4"/>
        <v>8956.8000000000011</v>
      </c>
      <c r="V62">
        <f t="shared" si="5"/>
        <v>579.19999999999891</v>
      </c>
      <c r="W62">
        <f t="shared" si="6"/>
        <v>416</v>
      </c>
      <c r="X62">
        <v>2</v>
      </c>
      <c r="Y62">
        <v>0</v>
      </c>
      <c r="Z62">
        <v>1</v>
      </c>
      <c r="AA62">
        <f t="shared" si="7"/>
        <v>0</v>
      </c>
      <c r="AB62">
        <f>VLOOKUP($AB$6, 'Other Lists'!$B$27:$H$32, 7, FALSE) *Y62*8</f>
        <v>0</v>
      </c>
      <c r="AC62">
        <f>VLOOKUP($AC$6, 'Other Lists'!$B$27:$H$32, 7, FALSE) * Z62 * 8</f>
        <v>280.8</v>
      </c>
      <c r="AD62">
        <f>VLOOKUP($AD$6, 'Other Lists'!$B$27:$H$32, 7, FALSE) * AA62 * 8</f>
        <v>0</v>
      </c>
      <c r="AE62">
        <f t="shared" si="8"/>
        <v>1360.8000000000002</v>
      </c>
      <c r="AF62" s="18">
        <f t="shared" si="9"/>
        <v>4.3755627009646307</v>
      </c>
      <c r="AH62">
        <v>105</v>
      </c>
      <c r="AI62">
        <v>77</v>
      </c>
      <c r="AJ62">
        <v>77</v>
      </c>
      <c r="AK62">
        <v>0</v>
      </c>
      <c r="AL62">
        <v>81</v>
      </c>
      <c r="AM62">
        <v>0</v>
      </c>
      <c r="AN62">
        <v>0</v>
      </c>
      <c r="AO62">
        <v>71</v>
      </c>
      <c r="AP62">
        <f t="shared" si="10"/>
        <v>0</v>
      </c>
      <c r="AQ62" s="17">
        <f t="shared" si="11"/>
        <v>0.92207792207792205</v>
      </c>
      <c r="AR62" s="18">
        <f>VLOOKUP($AH$8, 'Other Lists'!$B$13:$H$15, 7, FALSE)</f>
        <v>184</v>
      </c>
      <c r="AS62" s="18">
        <f>VLOOKUP($AH$8, 'Other Lists'!$B$13:$F$15, 5, FALSE)</f>
        <v>129</v>
      </c>
      <c r="AT62" s="18">
        <f>VLOOKUP($AH$8, 'Other Lists'!$B$13:$G$15, 6, FALSE)</f>
        <v>36</v>
      </c>
      <c r="AU62" s="18">
        <f t="shared" si="12"/>
        <v>165</v>
      </c>
      <c r="AV62" s="18">
        <f>VLOOKUP($AH$84, 'Other Lists'!$B$13:$H$15, 7, FALSE) *AO62</f>
        <v>13064</v>
      </c>
      <c r="AW62" s="18">
        <f t="shared" si="13"/>
        <v>12705</v>
      </c>
      <c r="AX62" s="18">
        <f t="shared" si="14"/>
        <v>359</v>
      </c>
      <c r="AY62" s="18">
        <f t="shared" si="15"/>
        <v>1104</v>
      </c>
      <c r="AZ62">
        <v>3</v>
      </c>
      <c r="BA62">
        <v>3</v>
      </c>
      <c r="BB62">
        <v>0</v>
      </c>
      <c r="BC62">
        <v>1</v>
      </c>
      <c r="BD62">
        <f t="shared" si="16"/>
        <v>1</v>
      </c>
      <c r="BE62">
        <f>VLOOKUP($BE$6, 'Other Lists'!$B$27:$H$32, 7, FALSE) *BB62*8</f>
        <v>0</v>
      </c>
      <c r="BF62">
        <f>VLOOKUP($BF$6, 'Other Lists'!$B$27:$H$32, 7, FALSE) * BC62 * 8</f>
        <v>280.8</v>
      </c>
      <c r="BG62">
        <f>VLOOKUP($BG$6, 'Other Lists'!$B$27:$H$32, 7, FALSE) * BD62 * 8</f>
        <v>259.2</v>
      </c>
      <c r="BH62">
        <f t="shared" si="17"/>
        <v>1641.6</v>
      </c>
      <c r="BI62">
        <f t="shared" si="18"/>
        <v>21.319480519480518</v>
      </c>
      <c r="BK62">
        <v>1</v>
      </c>
      <c r="BL62">
        <v>1</v>
      </c>
      <c r="BM62">
        <f>VLOOKUP($BM$6, 'Other Lists'!$B$27:$H$32, 7, FALSE) * BK62 * 8</f>
        <v>324</v>
      </c>
      <c r="BN62">
        <f>VLOOKUP($BN$6, 'Other Lists'!$B$27:$H$32, 7, FALSE) * BL62 * 8</f>
        <v>324</v>
      </c>
      <c r="BO62">
        <f t="shared" si="19"/>
        <v>2289.6</v>
      </c>
    </row>
    <row r="63" spans="2:67">
      <c r="B63">
        <v>215</v>
      </c>
      <c r="C63" s="15">
        <v>45349</v>
      </c>
      <c r="D63">
        <f t="shared" si="0"/>
        <v>3</v>
      </c>
      <c r="E63">
        <v>2</v>
      </c>
      <c r="F63">
        <v>119</v>
      </c>
      <c r="G63">
        <v>840</v>
      </c>
      <c r="H63">
        <v>840</v>
      </c>
      <c r="I63">
        <v>0</v>
      </c>
      <c r="J63">
        <v>874.99999999999989</v>
      </c>
      <c r="K63">
        <v>0</v>
      </c>
      <c r="L63">
        <v>0</v>
      </c>
      <c r="M63">
        <v>798</v>
      </c>
      <c r="N63">
        <f t="shared" si="1"/>
        <v>0</v>
      </c>
      <c r="O63" s="17">
        <f t="shared" si="2"/>
        <v>0.95</v>
      </c>
      <c r="P63" s="19">
        <f>VLOOKUP(F63, 'Other Lists'!$B$13:$H$154, 7, FALSE)</f>
        <v>32</v>
      </c>
      <c r="Q63" s="18">
        <f>VLOOKUP(F63, 'Other Lists'!$B$13:$F$15, 5, FALSE)</f>
        <v>17.8</v>
      </c>
      <c r="R63" s="18">
        <f>VLOOKUP(F63, 'Other Lists'!$B$13:$G$15, 6, FALSE)</f>
        <v>11</v>
      </c>
      <c r="S63" s="18">
        <f t="shared" si="3"/>
        <v>28.8</v>
      </c>
      <c r="T63">
        <f>VLOOKUP(F63, 'Other Lists'!$B$13:$H$15, 7, FALSE) * M63</f>
        <v>25536</v>
      </c>
      <c r="U63">
        <f t="shared" si="4"/>
        <v>24192</v>
      </c>
      <c r="V63">
        <f t="shared" si="5"/>
        <v>1344</v>
      </c>
      <c r="W63">
        <f t="shared" si="6"/>
        <v>1344</v>
      </c>
      <c r="X63">
        <v>5</v>
      </c>
      <c r="Y63">
        <v>0</v>
      </c>
      <c r="Z63">
        <v>4</v>
      </c>
      <c r="AA63">
        <f t="shared" si="7"/>
        <v>0</v>
      </c>
      <c r="AB63">
        <f>VLOOKUP($AB$6, 'Other Lists'!$B$27:$H$32, 7, FALSE) *Y63*8</f>
        <v>0</v>
      </c>
      <c r="AC63">
        <f>VLOOKUP($AC$6, 'Other Lists'!$B$27:$H$32, 7, FALSE) * Z63 * 8</f>
        <v>1123.2</v>
      </c>
      <c r="AD63">
        <f>VLOOKUP($AD$6, 'Other Lists'!$B$27:$H$32, 7, FALSE) * AA63 * 8</f>
        <v>0</v>
      </c>
      <c r="AE63">
        <f t="shared" si="8"/>
        <v>1360.8000000000002</v>
      </c>
      <c r="AF63" s="18">
        <f t="shared" si="9"/>
        <v>1.62</v>
      </c>
      <c r="AH63">
        <v>105</v>
      </c>
      <c r="AI63">
        <v>173</v>
      </c>
      <c r="AJ63">
        <v>173</v>
      </c>
      <c r="AK63">
        <v>0</v>
      </c>
      <c r="AL63">
        <v>189</v>
      </c>
      <c r="AM63">
        <v>0</v>
      </c>
      <c r="AN63">
        <v>0</v>
      </c>
      <c r="AO63">
        <v>160</v>
      </c>
      <c r="AP63">
        <f t="shared" si="10"/>
        <v>0</v>
      </c>
      <c r="AQ63" s="17">
        <f t="shared" si="11"/>
        <v>0.92485549132947975</v>
      </c>
      <c r="AR63" s="18">
        <f>VLOOKUP($AH$8, 'Other Lists'!$B$13:$H$15, 7, FALSE)</f>
        <v>184</v>
      </c>
      <c r="AS63" s="18">
        <f>VLOOKUP($AH$8, 'Other Lists'!$B$13:$F$15, 5, FALSE)</f>
        <v>129</v>
      </c>
      <c r="AT63" s="18">
        <f>VLOOKUP($AH$8, 'Other Lists'!$B$13:$G$15, 6, FALSE)</f>
        <v>36</v>
      </c>
      <c r="AU63" s="18">
        <f t="shared" si="12"/>
        <v>165</v>
      </c>
      <c r="AV63" s="18">
        <f>VLOOKUP($AH$84, 'Other Lists'!$B$13:$H$15, 7, FALSE) *AO63</f>
        <v>29440</v>
      </c>
      <c r="AW63" s="18">
        <f t="shared" si="13"/>
        <v>28545</v>
      </c>
      <c r="AX63" s="18">
        <f t="shared" si="14"/>
        <v>895</v>
      </c>
      <c r="AY63" s="18">
        <f t="shared" si="15"/>
        <v>2392</v>
      </c>
      <c r="AZ63">
        <v>7</v>
      </c>
      <c r="BA63">
        <v>7</v>
      </c>
      <c r="BB63">
        <v>0</v>
      </c>
      <c r="BC63">
        <v>3</v>
      </c>
      <c r="BD63">
        <f t="shared" si="16"/>
        <v>2</v>
      </c>
      <c r="BE63">
        <f>VLOOKUP($BE$6, 'Other Lists'!$B$27:$H$32, 7, FALSE) *BB63*8</f>
        <v>0</v>
      </c>
      <c r="BF63">
        <f>VLOOKUP($BF$6, 'Other Lists'!$B$27:$H$32, 7, FALSE) * BC63 * 8</f>
        <v>842.40000000000009</v>
      </c>
      <c r="BG63">
        <f>VLOOKUP($BG$6, 'Other Lists'!$B$27:$H$32, 7, FALSE) * BD63 * 8</f>
        <v>518.4</v>
      </c>
      <c r="BH63">
        <f t="shared" si="17"/>
        <v>1641.6</v>
      </c>
      <c r="BI63">
        <f t="shared" si="18"/>
        <v>9.4890173410404621</v>
      </c>
      <c r="BK63">
        <v>2</v>
      </c>
      <c r="BL63">
        <v>2</v>
      </c>
      <c r="BM63">
        <f>VLOOKUP($BM$6, 'Other Lists'!$B$27:$H$32, 7, FALSE) * BK63 * 8</f>
        <v>648</v>
      </c>
      <c r="BN63">
        <f>VLOOKUP($BN$6, 'Other Lists'!$B$27:$H$32, 7, FALSE) * BL63 * 8</f>
        <v>648</v>
      </c>
      <c r="BO63">
        <f t="shared" si="19"/>
        <v>2937.6</v>
      </c>
    </row>
    <row r="64" spans="2:67">
      <c r="B64">
        <v>216</v>
      </c>
      <c r="C64" s="15">
        <v>45350</v>
      </c>
      <c r="D64">
        <f t="shared" si="0"/>
        <v>4</v>
      </c>
      <c r="E64">
        <v>2</v>
      </c>
      <c r="F64">
        <v>201</v>
      </c>
      <c r="G64">
        <v>385</v>
      </c>
      <c r="H64">
        <v>343</v>
      </c>
      <c r="I64">
        <v>0</v>
      </c>
      <c r="J64">
        <v>350</v>
      </c>
      <c r="K64">
        <v>42</v>
      </c>
      <c r="L64">
        <v>0</v>
      </c>
      <c r="M64">
        <v>336</v>
      </c>
      <c r="N64">
        <f t="shared" si="1"/>
        <v>42</v>
      </c>
      <c r="O64" s="17">
        <f t="shared" si="2"/>
        <v>0.97959183673469385</v>
      </c>
      <c r="P64" s="19">
        <f>VLOOKUP(F64, 'Other Lists'!$B$13:$H$154, 7, FALSE)</f>
        <v>71</v>
      </c>
      <c r="Q64" s="18">
        <f>VLOOKUP(F64, 'Other Lists'!$B$13:$F$15, 5, FALSE)</f>
        <v>32.6</v>
      </c>
      <c r="R64" s="18">
        <f>VLOOKUP(F64, 'Other Lists'!$B$13:$G$15, 6, FALSE)</f>
        <v>16.5</v>
      </c>
      <c r="S64" s="18">
        <f t="shared" si="3"/>
        <v>49.1</v>
      </c>
      <c r="T64">
        <f>VLOOKUP(F64, 'Other Lists'!$B$13:$H$15, 7, FALSE) * M64</f>
        <v>23856</v>
      </c>
      <c r="U64">
        <f t="shared" si="4"/>
        <v>16841.3</v>
      </c>
      <c r="V64">
        <f t="shared" si="5"/>
        <v>7014.7000000000007</v>
      </c>
      <c r="W64">
        <f t="shared" si="6"/>
        <v>497</v>
      </c>
      <c r="X64">
        <v>5</v>
      </c>
      <c r="Y64">
        <v>0</v>
      </c>
      <c r="Z64">
        <v>3</v>
      </c>
      <c r="AA64">
        <f t="shared" si="7"/>
        <v>1</v>
      </c>
      <c r="AB64">
        <f>VLOOKUP($AB$6, 'Other Lists'!$B$27:$H$32, 7, FALSE) *Y64*8</f>
        <v>0</v>
      </c>
      <c r="AC64">
        <f>VLOOKUP($AC$6, 'Other Lists'!$B$27:$H$32, 7, FALSE) * Z64 * 8</f>
        <v>842.40000000000009</v>
      </c>
      <c r="AD64">
        <f>VLOOKUP($AD$6, 'Other Lists'!$B$27:$H$32, 7, FALSE) * AA64 * 8</f>
        <v>259.2</v>
      </c>
      <c r="AE64">
        <f t="shared" si="8"/>
        <v>1360.8000000000002</v>
      </c>
      <c r="AF64" s="18">
        <f t="shared" si="9"/>
        <v>3.9673469387755107</v>
      </c>
      <c r="AH64">
        <v>105</v>
      </c>
      <c r="AI64">
        <v>166</v>
      </c>
      <c r="AJ64">
        <v>166</v>
      </c>
      <c r="AK64">
        <v>0</v>
      </c>
      <c r="AL64">
        <v>189</v>
      </c>
      <c r="AM64">
        <v>0</v>
      </c>
      <c r="AN64">
        <v>0</v>
      </c>
      <c r="AO64">
        <v>157</v>
      </c>
      <c r="AP64">
        <f t="shared" si="10"/>
        <v>0</v>
      </c>
      <c r="AQ64" s="17">
        <f t="shared" si="11"/>
        <v>0.94578313253012047</v>
      </c>
      <c r="AR64" s="18">
        <f>VLOOKUP($AH$8, 'Other Lists'!$B$13:$H$15, 7, FALSE)</f>
        <v>184</v>
      </c>
      <c r="AS64" s="18">
        <f>VLOOKUP($AH$8, 'Other Lists'!$B$13:$F$15, 5, FALSE)</f>
        <v>129</v>
      </c>
      <c r="AT64" s="18">
        <f>VLOOKUP($AH$8, 'Other Lists'!$B$13:$G$15, 6, FALSE)</f>
        <v>36</v>
      </c>
      <c r="AU64" s="18">
        <f t="shared" si="12"/>
        <v>165</v>
      </c>
      <c r="AV64" s="18">
        <f>VLOOKUP($AH$84, 'Other Lists'!$B$13:$H$15, 7, FALSE) *AO64</f>
        <v>28888</v>
      </c>
      <c r="AW64" s="18">
        <f t="shared" si="13"/>
        <v>27390</v>
      </c>
      <c r="AX64" s="18">
        <f t="shared" si="14"/>
        <v>1498</v>
      </c>
      <c r="AY64" s="18">
        <f t="shared" si="15"/>
        <v>1656</v>
      </c>
      <c r="AZ64">
        <v>7</v>
      </c>
      <c r="BA64">
        <v>7</v>
      </c>
      <c r="BB64">
        <v>0</v>
      </c>
      <c r="BC64">
        <v>3</v>
      </c>
      <c r="BD64">
        <f t="shared" si="16"/>
        <v>2</v>
      </c>
      <c r="BE64">
        <f>VLOOKUP($BE$6, 'Other Lists'!$B$27:$H$32, 7, FALSE) *BB64*8</f>
        <v>0</v>
      </c>
      <c r="BF64">
        <f>VLOOKUP($BF$6, 'Other Lists'!$B$27:$H$32, 7, FALSE) * BC64 * 8</f>
        <v>842.40000000000009</v>
      </c>
      <c r="BG64">
        <f>VLOOKUP($BG$6, 'Other Lists'!$B$27:$H$32, 7, FALSE) * BD64 * 8</f>
        <v>518.4</v>
      </c>
      <c r="BH64">
        <f t="shared" si="17"/>
        <v>1641.6</v>
      </c>
      <c r="BI64">
        <f t="shared" si="18"/>
        <v>9.8891566265060238</v>
      </c>
      <c r="BK64">
        <v>2</v>
      </c>
      <c r="BL64">
        <v>2</v>
      </c>
      <c r="BM64">
        <f>VLOOKUP($BM$6, 'Other Lists'!$B$27:$H$32, 7, FALSE) * BK64 * 8</f>
        <v>648</v>
      </c>
      <c r="BN64">
        <f>VLOOKUP($BN$6, 'Other Lists'!$B$27:$H$32, 7, FALSE) * BL64 * 8</f>
        <v>648</v>
      </c>
      <c r="BO64">
        <f t="shared" si="19"/>
        <v>2937.6</v>
      </c>
    </row>
    <row r="65" spans="2:67">
      <c r="B65">
        <v>217</v>
      </c>
      <c r="C65" s="15">
        <v>45351</v>
      </c>
      <c r="D65">
        <f t="shared" si="0"/>
        <v>5</v>
      </c>
      <c r="E65">
        <v>2</v>
      </c>
      <c r="F65">
        <v>201</v>
      </c>
      <c r="G65">
        <v>399</v>
      </c>
      <c r="H65">
        <v>339</v>
      </c>
      <c r="I65">
        <v>0</v>
      </c>
      <c r="J65">
        <v>350</v>
      </c>
      <c r="K65">
        <v>60</v>
      </c>
      <c r="L65">
        <v>0</v>
      </c>
      <c r="M65">
        <v>332</v>
      </c>
      <c r="N65">
        <f t="shared" si="1"/>
        <v>60</v>
      </c>
      <c r="O65" s="17">
        <f t="shared" si="2"/>
        <v>0.97935103244837762</v>
      </c>
      <c r="P65" s="19">
        <f>VLOOKUP(F65, 'Other Lists'!$B$13:$H$154, 7, FALSE)</f>
        <v>71</v>
      </c>
      <c r="Q65" s="18">
        <f>VLOOKUP(F65, 'Other Lists'!$B$13:$F$15, 5, FALSE)</f>
        <v>32.6</v>
      </c>
      <c r="R65" s="18">
        <f>VLOOKUP(F65, 'Other Lists'!$B$13:$G$15, 6, FALSE)</f>
        <v>16.5</v>
      </c>
      <c r="S65" s="18">
        <f t="shared" si="3"/>
        <v>49.1</v>
      </c>
      <c r="T65">
        <f>VLOOKUP(F65, 'Other Lists'!$B$13:$H$15, 7, FALSE) * M65</f>
        <v>23572</v>
      </c>
      <c r="U65">
        <f t="shared" si="4"/>
        <v>16644.900000000001</v>
      </c>
      <c r="V65">
        <f t="shared" si="5"/>
        <v>6927.0999999999985</v>
      </c>
      <c r="W65">
        <f t="shared" si="6"/>
        <v>497</v>
      </c>
      <c r="X65">
        <v>5</v>
      </c>
      <c r="Y65">
        <v>0</v>
      </c>
      <c r="Z65">
        <v>3</v>
      </c>
      <c r="AA65">
        <f t="shared" si="7"/>
        <v>1</v>
      </c>
      <c r="AB65">
        <f>VLOOKUP($AB$6, 'Other Lists'!$B$27:$H$32, 7, FALSE) *Y65*8</f>
        <v>0</v>
      </c>
      <c r="AC65">
        <f>VLOOKUP($AC$6, 'Other Lists'!$B$27:$H$32, 7, FALSE) * Z65 * 8</f>
        <v>842.40000000000009</v>
      </c>
      <c r="AD65">
        <f>VLOOKUP($AD$6, 'Other Lists'!$B$27:$H$32, 7, FALSE) * AA65 * 8</f>
        <v>259.2</v>
      </c>
      <c r="AE65">
        <f t="shared" si="8"/>
        <v>1360.8000000000002</v>
      </c>
      <c r="AF65" s="18">
        <f t="shared" si="9"/>
        <v>4.0141592920353988</v>
      </c>
      <c r="AH65">
        <v>105</v>
      </c>
      <c r="AI65">
        <v>226</v>
      </c>
      <c r="AJ65">
        <v>175</v>
      </c>
      <c r="AK65">
        <v>0</v>
      </c>
      <c r="AL65">
        <v>189</v>
      </c>
      <c r="AM65">
        <v>51</v>
      </c>
      <c r="AN65">
        <v>0</v>
      </c>
      <c r="AO65">
        <v>171</v>
      </c>
      <c r="AP65">
        <f t="shared" si="10"/>
        <v>51</v>
      </c>
      <c r="AQ65" s="17">
        <f t="shared" si="11"/>
        <v>0.97714285714285709</v>
      </c>
      <c r="AR65" s="18">
        <f>VLOOKUP($AH$8, 'Other Lists'!$B$13:$H$15, 7, FALSE)</f>
        <v>184</v>
      </c>
      <c r="AS65" s="18">
        <f>VLOOKUP($AH$8, 'Other Lists'!$B$13:$F$15, 5, FALSE)</f>
        <v>129</v>
      </c>
      <c r="AT65" s="18">
        <f>VLOOKUP($AH$8, 'Other Lists'!$B$13:$G$15, 6, FALSE)</f>
        <v>36</v>
      </c>
      <c r="AU65" s="18">
        <f t="shared" si="12"/>
        <v>165</v>
      </c>
      <c r="AV65" s="18">
        <f>VLOOKUP($AH$84, 'Other Lists'!$B$13:$H$15, 7, FALSE) *AO65</f>
        <v>31464</v>
      </c>
      <c r="AW65" s="18">
        <f t="shared" si="13"/>
        <v>28875</v>
      </c>
      <c r="AX65" s="18">
        <f t="shared" si="14"/>
        <v>2589</v>
      </c>
      <c r="AY65" s="18">
        <f t="shared" si="15"/>
        <v>736</v>
      </c>
      <c r="AZ65">
        <v>7</v>
      </c>
      <c r="BA65">
        <v>7</v>
      </c>
      <c r="BB65">
        <v>1</v>
      </c>
      <c r="BC65">
        <v>3</v>
      </c>
      <c r="BD65">
        <f t="shared" si="16"/>
        <v>1</v>
      </c>
      <c r="BE65">
        <f>VLOOKUP($BE$6, 'Other Lists'!$B$27:$H$32, 7, FALSE) *BB65*8</f>
        <v>194.4</v>
      </c>
      <c r="BF65">
        <f>VLOOKUP($BF$6, 'Other Lists'!$B$27:$H$32, 7, FALSE) * BC65 * 8</f>
        <v>842.40000000000009</v>
      </c>
      <c r="BG65">
        <f>VLOOKUP($BG$6, 'Other Lists'!$B$27:$H$32, 7, FALSE) * BD65 * 8</f>
        <v>259.2</v>
      </c>
      <c r="BH65">
        <f t="shared" si="17"/>
        <v>1641.6</v>
      </c>
      <c r="BI65">
        <f t="shared" si="18"/>
        <v>9.3805714285714288</v>
      </c>
      <c r="BK65">
        <v>2</v>
      </c>
      <c r="BL65">
        <v>2</v>
      </c>
      <c r="BM65">
        <f>VLOOKUP($BM$6, 'Other Lists'!$B$27:$H$32, 7, FALSE) * BK65 * 8</f>
        <v>648</v>
      </c>
      <c r="BN65">
        <f>VLOOKUP($BN$6, 'Other Lists'!$B$27:$H$32, 7, FALSE) * BL65 * 8</f>
        <v>648</v>
      </c>
      <c r="BO65">
        <f t="shared" si="19"/>
        <v>2937.6</v>
      </c>
    </row>
    <row r="66" spans="2:67">
      <c r="B66">
        <v>218</v>
      </c>
      <c r="C66" s="15">
        <v>45323</v>
      </c>
      <c r="D66">
        <f t="shared" si="0"/>
        <v>5</v>
      </c>
      <c r="E66">
        <v>3</v>
      </c>
      <c r="F66">
        <v>201</v>
      </c>
      <c r="G66">
        <v>378</v>
      </c>
      <c r="H66">
        <v>378</v>
      </c>
      <c r="I66">
        <v>84</v>
      </c>
      <c r="J66">
        <v>420</v>
      </c>
      <c r="K66">
        <v>170</v>
      </c>
      <c r="L66">
        <v>254</v>
      </c>
      <c r="M66">
        <v>429</v>
      </c>
      <c r="N66">
        <f t="shared" si="1"/>
        <v>0</v>
      </c>
      <c r="O66" s="17">
        <f t="shared" si="2"/>
        <v>1.1349206349206349</v>
      </c>
      <c r="P66" s="19">
        <f>VLOOKUP(F66, 'Other Lists'!$B$13:$H$154, 7, FALSE)</f>
        <v>71</v>
      </c>
      <c r="Q66" s="18">
        <f>VLOOKUP(F66, 'Other Lists'!$B$13:$F$15, 5, FALSE)</f>
        <v>32.6</v>
      </c>
      <c r="R66" s="18">
        <f>VLOOKUP(F66, 'Other Lists'!$B$13:$G$15, 6, FALSE)</f>
        <v>16.5</v>
      </c>
      <c r="S66" s="18">
        <f t="shared" si="3"/>
        <v>49.1</v>
      </c>
      <c r="T66">
        <f>VLOOKUP(F66, 'Other Lists'!$B$13:$H$15, 7, FALSE) * M66</f>
        <v>30459</v>
      </c>
      <c r="U66">
        <f t="shared" si="4"/>
        <v>18559.8</v>
      </c>
      <c r="V66">
        <f t="shared" si="5"/>
        <v>11899.2</v>
      </c>
      <c r="W66">
        <f t="shared" si="6"/>
        <v>-3621</v>
      </c>
      <c r="X66">
        <v>6</v>
      </c>
      <c r="Y66">
        <v>0</v>
      </c>
      <c r="Z66">
        <v>4</v>
      </c>
      <c r="AA66">
        <f t="shared" si="7"/>
        <v>1</v>
      </c>
      <c r="AB66">
        <f>VLOOKUP($AB$6, 'Other Lists'!$B$27:$H$32, 7, FALSE) *Y66*8</f>
        <v>0</v>
      </c>
      <c r="AC66">
        <f>VLOOKUP($AC$6, 'Other Lists'!$B$27:$H$32, 7, FALSE) * Z66 * 8</f>
        <v>1123.2</v>
      </c>
      <c r="AD66">
        <f>VLOOKUP($AD$6, 'Other Lists'!$B$27:$H$32, 7, FALSE) * AA66 * 8</f>
        <v>259.2</v>
      </c>
      <c r="AE66">
        <f t="shared" si="8"/>
        <v>1360.8000000000002</v>
      </c>
      <c r="AF66" s="18">
        <f t="shared" si="9"/>
        <v>3.6000000000000005</v>
      </c>
      <c r="AH66">
        <v>105</v>
      </c>
      <c r="AI66">
        <v>165</v>
      </c>
      <c r="AJ66">
        <v>155</v>
      </c>
      <c r="AK66">
        <v>0</v>
      </c>
      <c r="AL66">
        <v>162</v>
      </c>
      <c r="AM66">
        <v>0</v>
      </c>
      <c r="AN66">
        <v>0</v>
      </c>
      <c r="AO66">
        <v>148</v>
      </c>
      <c r="AP66">
        <f t="shared" si="10"/>
        <v>10</v>
      </c>
      <c r="AQ66" s="17">
        <f t="shared" si="11"/>
        <v>0.95483870967741935</v>
      </c>
      <c r="AR66" s="18">
        <f>VLOOKUP($AH$8, 'Other Lists'!$B$13:$H$15, 7, FALSE)</f>
        <v>184</v>
      </c>
      <c r="AS66" s="18">
        <f>VLOOKUP($AH$8, 'Other Lists'!$B$13:$F$15, 5, FALSE)</f>
        <v>129</v>
      </c>
      <c r="AT66" s="18">
        <f>VLOOKUP($AH$8, 'Other Lists'!$B$13:$G$15, 6, FALSE)</f>
        <v>36</v>
      </c>
      <c r="AU66" s="18">
        <f t="shared" si="12"/>
        <v>165</v>
      </c>
      <c r="AV66" s="18">
        <f>VLOOKUP($AH$84, 'Other Lists'!$B$13:$H$15, 7, FALSE) *AO66</f>
        <v>27232</v>
      </c>
      <c r="AW66" s="18">
        <f t="shared" si="13"/>
        <v>25575</v>
      </c>
      <c r="AX66" s="18">
        <f t="shared" si="14"/>
        <v>1657</v>
      </c>
      <c r="AY66" s="18">
        <f t="shared" si="15"/>
        <v>1288</v>
      </c>
      <c r="AZ66">
        <v>6</v>
      </c>
      <c r="BA66">
        <v>6</v>
      </c>
      <c r="BB66">
        <v>0</v>
      </c>
      <c r="BC66">
        <v>4</v>
      </c>
      <c r="BD66">
        <f t="shared" si="16"/>
        <v>0</v>
      </c>
      <c r="BE66">
        <f>VLOOKUP($BE$6, 'Other Lists'!$B$27:$H$32, 7, FALSE) *BB66*8</f>
        <v>0</v>
      </c>
      <c r="BF66">
        <f>VLOOKUP($BF$6, 'Other Lists'!$B$27:$H$32, 7, FALSE) * BC66 * 8</f>
        <v>1123.2</v>
      </c>
      <c r="BG66">
        <f>VLOOKUP($BG$6, 'Other Lists'!$B$27:$H$32, 7, FALSE) * BD66 * 8</f>
        <v>0</v>
      </c>
      <c r="BH66">
        <f t="shared" si="17"/>
        <v>1641.6</v>
      </c>
      <c r="BI66">
        <f t="shared" si="18"/>
        <v>10.590967741935483</v>
      </c>
      <c r="BK66">
        <v>2</v>
      </c>
      <c r="BL66">
        <v>1</v>
      </c>
      <c r="BM66">
        <f>VLOOKUP($BM$6, 'Other Lists'!$B$27:$H$32, 7, FALSE) * BK66 * 8</f>
        <v>648</v>
      </c>
      <c r="BN66">
        <f>VLOOKUP($BN$6, 'Other Lists'!$B$27:$H$32, 7, FALSE) * BL66 * 8</f>
        <v>324</v>
      </c>
      <c r="BO66">
        <f t="shared" si="19"/>
        <v>2613.6</v>
      </c>
    </row>
    <row r="67" spans="2:67">
      <c r="B67">
        <v>219</v>
      </c>
      <c r="C67" s="15">
        <v>45324</v>
      </c>
      <c r="D67">
        <f t="shared" si="0"/>
        <v>6</v>
      </c>
      <c r="E67">
        <v>3</v>
      </c>
      <c r="F67">
        <v>201</v>
      </c>
      <c r="G67">
        <v>378</v>
      </c>
      <c r="H67">
        <v>378</v>
      </c>
      <c r="I67">
        <v>63</v>
      </c>
      <c r="J67">
        <v>420</v>
      </c>
      <c r="K67">
        <v>0</v>
      </c>
      <c r="L67">
        <v>63</v>
      </c>
      <c r="M67">
        <v>414</v>
      </c>
      <c r="N67">
        <f t="shared" si="1"/>
        <v>0</v>
      </c>
      <c r="O67" s="17">
        <f t="shared" si="2"/>
        <v>1.0952380952380953</v>
      </c>
      <c r="P67" s="19">
        <f>VLOOKUP(F67, 'Other Lists'!$B$13:$H$154, 7, FALSE)</f>
        <v>71</v>
      </c>
      <c r="Q67" s="18">
        <f>VLOOKUP(F67, 'Other Lists'!$B$13:$F$15, 5, FALSE)</f>
        <v>32.6</v>
      </c>
      <c r="R67" s="18">
        <f>VLOOKUP(F67, 'Other Lists'!$B$13:$G$15, 6, FALSE)</f>
        <v>16.5</v>
      </c>
      <c r="S67" s="18">
        <f t="shared" si="3"/>
        <v>49.1</v>
      </c>
      <c r="T67">
        <f>VLOOKUP(F67, 'Other Lists'!$B$13:$H$15, 7, FALSE) * M67</f>
        <v>29394</v>
      </c>
      <c r="U67">
        <f t="shared" si="4"/>
        <v>18559.8</v>
      </c>
      <c r="V67">
        <f t="shared" si="5"/>
        <v>10834.2</v>
      </c>
      <c r="W67">
        <f t="shared" si="6"/>
        <v>-2556</v>
      </c>
      <c r="X67">
        <v>6</v>
      </c>
      <c r="Y67">
        <v>0</v>
      </c>
      <c r="Z67">
        <v>4</v>
      </c>
      <c r="AA67">
        <f t="shared" si="7"/>
        <v>1</v>
      </c>
      <c r="AB67">
        <f>VLOOKUP($AB$6, 'Other Lists'!$B$27:$H$32, 7, FALSE) *Y67*8</f>
        <v>0</v>
      </c>
      <c r="AC67">
        <f>VLOOKUP($AC$6, 'Other Lists'!$B$27:$H$32, 7, FALSE) * Z67 * 8</f>
        <v>1123.2</v>
      </c>
      <c r="AD67">
        <f>VLOOKUP($AD$6, 'Other Lists'!$B$27:$H$32, 7, FALSE) * AA67 * 8</f>
        <v>259.2</v>
      </c>
      <c r="AE67">
        <f t="shared" si="8"/>
        <v>1360.8000000000002</v>
      </c>
      <c r="AF67" s="18">
        <f t="shared" si="9"/>
        <v>3.6000000000000005</v>
      </c>
      <c r="AH67">
        <v>105</v>
      </c>
      <c r="AI67">
        <v>163</v>
      </c>
      <c r="AJ67">
        <v>163</v>
      </c>
      <c r="AK67">
        <v>15</v>
      </c>
      <c r="AL67">
        <v>162</v>
      </c>
      <c r="AM67">
        <v>10</v>
      </c>
      <c r="AN67">
        <v>25</v>
      </c>
      <c r="AO67">
        <v>174</v>
      </c>
      <c r="AP67">
        <f t="shared" si="10"/>
        <v>0</v>
      </c>
      <c r="AQ67" s="17">
        <f t="shared" si="11"/>
        <v>1.0674846625766872</v>
      </c>
      <c r="AR67" s="18">
        <f>VLOOKUP($AH$8, 'Other Lists'!$B$13:$H$15, 7, FALSE)</f>
        <v>184</v>
      </c>
      <c r="AS67" s="18">
        <f>VLOOKUP($AH$8, 'Other Lists'!$B$13:$F$15, 5, FALSE)</f>
        <v>129</v>
      </c>
      <c r="AT67" s="18">
        <f>VLOOKUP($AH$8, 'Other Lists'!$B$13:$G$15, 6, FALSE)</f>
        <v>36</v>
      </c>
      <c r="AU67" s="18">
        <f t="shared" si="12"/>
        <v>165</v>
      </c>
      <c r="AV67" s="18">
        <f>VLOOKUP($AH$84, 'Other Lists'!$B$13:$H$15, 7, FALSE) *AO67</f>
        <v>32016</v>
      </c>
      <c r="AW67" s="18">
        <f t="shared" si="13"/>
        <v>26895</v>
      </c>
      <c r="AX67" s="18">
        <f t="shared" si="14"/>
        <v>5121</v>
      </c>
      <c r="AY67" s="18">
        <f t="shared" si="15"/>
        <v>-2024</v>
      </c>
      <c r="AZ67">
        <v>6</v>
      </c>
      <c r="BA67">
        <v>6</v>
      </c>
      <c r="BB67">
        <v>0</v>
      </c>
      <c r="BC67">
        <v>4</v>
      </c>
      <c r="BD67">
        <f t="shared" si="16"/>
        <v>0</v>
      </c>
      <c r="BE67">
        <f>VLOOKUP($BE$6, 'Other Lists'!$B$27:$H$32, 7, FALSE) *BB67*8</f>
        <v>0</v>
      </c>
      <c r="BF67">
        <f>VLOOKUP($BF$6, 'Other Lists'!$B$27:$H$32, 7, FALSE) * BC67 * 8</f>
        <v>1123.2</v>
      </c>
      <c r="BG67">
        <f>VLOOKUP($BG$6, 'Other Lists'!$B$27:$H$32, 7, FALSE) * BD67 * 8</f>
        <v>0</v>
      </c>
      <c r="BH67">
        <f t="shared" si="17"/>
        <v>1641.6</v>
      </c>
      <c r="BI67">
        <f t="shared" si="18"/>
        <v>10.071165644171778</v>
      </c>
      <c r="BK67">
        <v>2</v>
      </c>
      <c r="BL67">
        <v>1</v>
      </c>
      <c r="BM67">
        <f>VLOOKUP($BM$6, 'Other Lists'!$B$27:$H$32, 7, FALSE) * BK67 * 8</f>
        <v>648</v>
      </c>
      <c r="BN67">
        <f>VLOOKUP($BN$6, 'Other Lists'!$B$27:$H$32, 7, FALSE) * BL67 * 8</f>
        <v>324</v>
      </c>
      <c r="BO67">
        <f t="shared" si="19"/>
        <v>2613.6</v>
      </c>
    </row>
    <row r="68" spans="2:67">
      <c r="B68">
        <v>220</v>
      </c>
      <c r="C68" s="15">
        <v>45325</v>
      </c>
      <c r="D68">
        <f t="shared" si="0"/>
        <v>7</v>
      </c>
      <c r="E68">
        <v>3</v>
      </c>
      <c r="F68">
        <v>119</v>
      </c>
      <c r="G68">
        <v>609</v>
      </c>
      <c r="H68">
        <v>609</v>
      </c>
      <c r="I68">
        <v>37</v>
      </c>
      <c r="J68">
        <v>1049.9999999999998</v>
      </c>
      <c r="K68">
        <v>0</v>
      </c>
      <c r="L68">
        <v>37</v>
      </c>
      <c r="M68">
        <v>600</v>
      </c>
      <c r="N68">
        <f t="shared" si="1"/>
        <v>0</v>
      </c>
      <c r="O68" s="17">
        <f t="shared" si="2"/>
        <v>0.98522167487684731</v>
      </c>
      <c r="P68" s="19">
        <f>VLOOKUP(F68, 'Other Lists'!$B$13:$H$154, 7, FALSE)</f>
        <v>32</v>
      </c>
      <c r="Q68" s="18">
        <f>VLOOKUP(F68, 'Other Lists'!$B$13:$F$15, 5, FALSE)</f>
        <v>17.8</v>
      </c>
      <c r="R68" s="18">
        <f>VLOOKUP(F68, 'Other Lists'!$B$13:$G$15, 6, FALSE)</f>
        <v>11</v>
      </c>
      <c r="S68" s="18">
        <f t="shared" si="3"/>
        <v>28.8</v>
      </c>
      <c r="T68">
        <f>VLOOKUP(F68, 'Other Lists'!$B$13:$H$15, 7, FALSE) * M68</f>
        <v>19200</v>
      </c>
      <c r="U68">
        <f t="shared" si="4"/>
        <v>17539.2</v>
      </c>
      <c r="V68">
        <f t="shared" si="5"/>
        <v>1660.7999999999993</v>
      </c>
      <c r="W68">
        <f t="shared" si="6"/>
        <v>288</v>
      </c>
      <c r="X68">
        <v>6</v>
      </c>
      <c r="Y68">
        <v>0</v>
      </c>
      <c r="Z68">
        <v>4</v>
      </c>
      <c r="AA68">
        <f t="shared" si="7"/>
        <v>1</v>
      </c>
      <c r="AB68">
        <f>VLOOKUP($AB$6, 'Other Lists'!$B$27:$H$32, 7, FALSE) *Y68*8</f>
        <v>0</v>
      </c>
      <c r="AC68">
        <f>VLOOKUP($AC$6, 'Other Lists'!$B$27:$H$32, 7, FALSE) * Z68 * 8</f>
        <v>1123.2</v>
      </c>
      <c r="AD68">
        <f>VLOOKUP($AD$6, 'Other Lists'!$B$27:$H$32, 7, FALSE) * AA68 * 8</f>
        <v>259.2</v>
      </c>
      <c r="AE68">
        <f t="shared" si="8"/>
        <v>1360.8000000000002</v>
      </c>
      <c r="AF68" s="18">
        <f t="shared" si="9"/>
        <v>2.2344827586206901</v>
      </c>
      <c r="AH68">
        <v>105</v>
      </c>
      <c r="AI68">
        <v>194</v>
      </c>
      <c r="AJ68">
        <v>157</v>
      </c>
      <c r="AK68">
        <v>21</v>
      </c>
      <c r="AL68">
        <v>162</v>
      </c>
      <c r="AM68">
        <v>20</v>
      </c>
      <c r="AN68">
        <v>41</v>
      </c>
      <c r="AO68">
        <v>174</v>
      </c>
      <c r="AP68">
        <f t="shared" si="10"/>
        <v>37</v>
      </c>
      <c r="AQ68" s="17">
        <f t="shared" si="11"/>
        <v>1.10828025477707</v>
      </c>
      <c r="AR68" s="18">
        <f>VLOOKUP($AH$8, 'Other Lists'!$B$13:$H$15, 7, FALSE)</f>
        <v>184</v>
      </c>
      <c r="AS68" s="18">
        <f>VLOOKUP($AH$8, 'Other Lists'!$B$13:$F$15, 5, FALSE)</f>
        <v>129</v>
      </c>
      <c r="AT68" s="18">
        <f>VLOOKUP($AH$8, 'Other Lists'!$B$13:$G$15, 6, FALSE)</f>
        <v>36</v>
      </c>
      <c r="AU68" s="18">
        <f t="shared" si="12"/>
        <v>165</v>
      </c>
      <c r="AV68" s="18">
        <f>VLOOKUP($AH$84, 'Other Lists'!$B$13:$H$15, 7, FALSE) *AO68</f>
        <v>32016</v>
      </c>
      <c r="AW68" s="18">
        <f t="shared" si="13"/>
        <v>25905</v>
      </c>
      <c r="AX68" s="18">
        <f t="shared" si="14"/>
        <v>6111</v>
      </c>
      <c r="AY68" s="18">
        <f t="shared" si="15"/>
        <v>-3128</v>
      </c>
      <c r="AZ68">
        <v>6</v>
      </c>
      <c r="BA68">
        <v>6</v>
      </c>
      <c r="BB68">
        <v>0</v>
      </c>
      <c r="BC68">
        <v>4</v>
      </c>
      <c r="BD68">
        <f t="shared" si="16"/>
        <v>0</v>
      </c>
      <c r="BE68">
        <f>VLOOKUP($BE$6, 'Other Lists'!$B$27:$H$32, 7, FALSE) *BB68*8</f>
        <v>0</v>
      </c>
      <c r="BF68">
        <f>VLOOKUP($BF$6, 'Other Lists'!$B$27:$H$32, 7, FALSE) * BC68 * 8</f>
        <v>1123.2</v>
      </c>
      <c r="BG68">
        <f>VLOOKUP($BG$6, 'Other Lists'!$B$27:$H$32, 7, FALSE) * BD68 * 8</f>
        <v>0</v>
      </c>
      <c r="BH68">
        <f t="shared" si="17"/>
        <v>1641.6</v>
      </c>
      <c r="BI68">
        <f t="shared" si="18"/>
        <v>10.456050955414012</v>
      </c>
      <c r="BK68">
        <v>2</v>
      </c>
      <c r="BL68">
        <v>1</v>
      </c>
      <c r="BM68">
        <f>VLOOKUP($BM$6, 'Other Lists'!$B$27:$H$32, 7, FALSE) * BK68 * 8</f>
        <v>648</v>
      </c>
      <c r="BN68">
        <f>VLOOKUP($BN$6, 'Other Lists'!$B$27:$H$32, 7, FALSE) * BL68 * 8</f>
        <v>324</v>
      </c>
      <c r="BO68">
        <f t="shared" si="19"/>
        <v>2613.6</v>
      </c>
    </row>
    <row r="69" spans="2:67">
      <c r="B69">
        <v>221</v>
      </c>
      <c r="C69" s="15">
        <v>45326</v>
      </c>
      <c r="D69">
        <f t="shared" si="0"/>
        <v>1</v>
      </c>
      <c r="E69">
        <v>3</v>
      </c>
      <c r="F69">
        <v>201</v>
      </c>
      <c r="G69">
        <v>0</v>
      </c>
      <c r="H69">
        <v>0</v>
      </c>
      <c r="I69">
        <v>0</v>
      </c>
      <c r="J69">
        <v>0</v>
      </c>
      <c r="K69">
        <v>115</v>
      </c>
      <c r="L69">
        <v>115</v>
      </c>
      <c r="M69">
        <v>0</v>
      </c>
      <c r="N69">
        <f t="shared" si="1"/>
        <v>0</v>
      </c>
      <c r="O69" s="17">
        <v>0</v>
      </c>
      <c r="P69" s="19">
        <f>VLOOKUP(F69, 'Other Lists'!$B$13:$H$154, 7, FALSE)</f>
        <v>71</v>
      </c>
      <c r="Q69" s="18">
        <f>VLOOKUP(F69, 'Other Lists'!$B$13:$F$15, 5, FALSE)</f>
        <v>32.6</v>
      </c>
      <c r="R69" s="18">
        <f>VLOOKUP(F69, 'Other Lists'!$B$13:$G$15, 6, FALSE)</f>
        <v>16.5</v>
      </c>
      <c r="S69" s="18">
        <f t="shared" si="3"/>
        <v>49.1</v>
      </c>
      <c r="T69">
        <f>VLOOKUP(F69, 'Other Lists'!$B$13:$H$15, 7, FALSE) * M69</f>
        <v>0</v>
      </c>
      <c r="U69">
        <f t="shared" si="4"/>
        <v>0</v>
      </c>
      <c r="V69">
        <f t="shared" si="5"/>
        <v>0</v>
      </c>
      <c r="W69">
        <f t="shared" si="6"/>
        <v>0</v>
      </c>
      <c r="X69">
        <v>0</v>
      </c>
      <c r="Y69">
        <v>0</v>
      </c>
      <c r="Z69">
        <v>0</v>
      </c>
      <c r="AA69">
        <f t="shared" si="7"/>
        <v>-1</v>
      </c>
      <c r="AB69">
        <f>VLOOKUP($AB$6, 'Other Lists'!$B$27:$H$32, 7, FALSE) *Y69*8</f>
        <v>0</v>
      </c>
      <c r="AC69">
        <f>VLOOKUP($AC$6, 'Other Lists'!$B$27:$H$32, 7, FALSE) * Z69 * 8</f>
        <v>0</v>
      </c>
      <c r="AD69">
        <f>VLOOKUP($AD$6, 'Other Lists'!$B$27:$H$32, 7, FALSE) * AA69 * 8</f>
        <v>-259.2</v>
      </c>
      <c r="AE69">
        <f t="shared" si="8"/>
        <v>1360.8000000000002</v>
      </c>
      <c r="AF69" s="18">
        <v>0</v>
      </c>
      <c r="AH69">
        <v>105</v>
      </c>
      <c r="AI69">
        <v>0</v>
      </c>
      <c r="AJ69">
        <v>0</v>
      </c>
      <c r="AK69">
        <v>0</v>
      </c>
      <c r="AL69">
        <v>0</v>
      </c>
      <c r="AM69">
        <v>0</v>
      </c>
      <c r="AN69">
        <v>0</v>
      </c>
      <c r="AO69">
        <v>0</v>
      </c>
      <c r="AP69">
        <f t="shared" si="10"/>
        <v>0</v>
      </c>
      <c r="AQ69" s="17">
        <v>0</v>
      </c>
      <c r="AR69" s="18">
        <f>VLOOKUP($AH$8, 'Other Lists'!$B$13:$H$15, 7, FALSE)</f>
        <v>184</v>
      </c>
      <c r="AS69" s="18">
        <f>VLOOKUP($AH$8, 'Other Lists'!$B$13:$F$15, 5, FALSE)</f>
        <v>129</v>
      </c>
      <c r="AT69" s="18">
        <f>VLOOKUP($AH$8, 'Other Lists'!$B$13:$G$15, 6, FALSE)</f>
        <v>36</v>
      </c>
      <c r="AU69" s="18">
        <f t="shared" si="12"/>
        <v>165</v>
      </c>
      <c r="AV69" s="18">
        <f>VLOOKUP($AH$84, 'Other Lists'!$B$13:$H$15, 7, FALSE) *AO69</f>
        <v>0</v>
      </c>
      <c r="AW69" s="18">
        <f t="shared" si="13"/>
        <v>0</v>
      </c>
      <c r="AX69" s="18">
        <f t="shared" si="14"/>
        <v>0</v>
      </c>
      <c r="AY69" s="18">
        <f t="shared" si="15"/>
        <v>0</v>
      </c>
      <c r="AZ69">
        <v>0</v>
      </c>
      <c r="BA69">
        <v>0</v>
      </c>
      <c r="BB69">
        <v>0</v>
      </c>
      <c r="BC69">
        <v>0</v>
      </c>
      <c r="BD69">
        <f t="shared" si="16"/>
        <v>0</v>
      </c>
      <c r="BE69">
        <f>VLOOKUP($BE$6, 'Other Lists'!$B$27:$H$32, 7, FALSE) *BB69*8</f>
        <v>0</v>
      </c>
      <c r="BF69">
        <f>VLOOKUP($BF$6, 'Other Lists'!$B$27:$H$32, 7, FALSE) * BC69 * 8</f>
        <v>0</v>
      </c>
      <c r="BG69">
        <f>VLOOKUP($BG$6, 'Other Lists'!$B$27:$H$32, 7, FALSE) * BD69 * 8</f>
        <v>0</v>
      </c>
      <c r="BH69">
        <f t="shared" si="17"/>
        <v>1641.6</v>
      </c>
      <c r="BI69">
        <v>0</v>
      </c>
      <c r="BK69">
        <v>0</v>
      </c>
      <c r="BL69">
        <v>0</v>
      </c>
      <c r="BM69">
        <f>VLOOKUP($BM$6, 'Other Lists'!$B$27:$H$32, 7, FALSE) * BK69 * 8</f>
        <v>0</v>
      </c>
      <c r="BN69">
        <f>VLOOKUP($BN$6, 'Other Lists'!$B$27:$H$32, 7, FALSE) * BL69 * 8</f>
        <v>0</v>
      </c>
      <c r="BO69">
        <f t="shared" si="19"/>
        <v>1641.6</v>
      </c>
    </row>
    <row r="70" spans="2:67">
      <c r="B70">
        <v>222</v>
      </c>
      <c r="C70" s="15">
        <v>45327</v>
      </c>
      <c r="D70">
        <f t="shared" si="0"/>
        <v>2</v>
      </c>
      <c r="E70">
        <v>3</v>
      </c>
      <c r="F70">
        <v>201</v>
      </c>
      <c r="G70">
        <v>0</v>
      </c>
      <c r="H70">
        <v>0</v>
      </c>
      <c r="I70">
        <v>0</v>
      </c>
      <c r="J70">
        <v>0</v>
      </c>
      <c r="K70">
        <v>17</v>
      </c>
      <c r="L70">
        <v>17</v>
      </c>
      <c r="M70">
        <v>0</v>
      </c>
      <c r="N70">
        <f t="shared" si="1"/>
        <v>0</v>
      </c>
      <c r="O70" s="17">
        <v>0</v>
      </c>
      <c r="P70" s="19">
        <f>VLOOKUP(F70, 'Other Lists'!$B$13:$H$154, 7, FALSE)</f>
        <v>71</v>
      </c>
      <c r="Q70" s="18">
        <f>VLOOKUP(F70, 'Other Lists'!$B$13:$F$15, 5, FALSE)</f>
        <v>32.6</v>
      </c>
      <c r="R70" s="18">
        <f>VLOOKUP(F70, 'Other Lists'!$B$13:$G$15, 6, FALSE)</f>
        <v>16.5</v>
      </c>
      <c r="S70" s="18">
        <f t="shared" si="3"/>
        <v>49.1</v>
      </c>
      <c r="T70">
        <f>VLOOKUP(F70, 'Other Lists'!$B$13:$H$15, 7, FALSE) * M70</f>
        <v>0</v>
      </c>
      <c r="U70">
        <f t="shared" si="4"/>
        <v>0</v>
      </c>
      <c r="V70">
        <f t="shared" si="5"/>
        <v>0</v>
      </c>
      <c r="W70">
        <f t="shared" si="6"/>
        <v>0</v>
      </c>
      <c r="X70">
        <v>0</v>
      </c>
      <c r="Y70">
        <v>0</v>
      </c>
      <c r="Z70">
        <v>0</v>
      </c>
      <c r="AA70">
        <f t="shared" si="7"/>
        <v>-1</v>
      </c>
      <c r="AB70">
        <f>VLOOKUP($AB$6, 'Other Lists'!$B$27:$H$32, 7, FALSE) *Y70*8</f>
        <v>0</v>
      </c>
      <c r="AC70">
        <f>VLOOKUP($AC$6, 'Other Lists'!$B$27:$H$32, 7, FALSE) * Z70 * 8</f>
        <v>0</v>
      </c>
      <c r="AD70">
        <f>VLOOKUP($AD$6, 'Other Lists'!$B$27:$H$32, 7, FALSE) * AA70 * 8</f>
        <v>-259.2</v>
      </c>
      <c r="AE70">
        <f t="shared" si="8"/>
        <v>1360.8000000000002</v>
      </c>
      <c r="AF70" s="18">
        <v>0</v>
      </c>
      <c r="AH70">
        <v>105</v>
      </c>
      <c r="AI70">
        <v>0</v>
      </c>
      <c r="AJ70">
        <v>0</v>
      </c>
      <c r="AK70">
        <v>0</v>
      </c>
      <c r="AL70">
        <v>0</v>
      </c>
      <c r="AM70">
        <v>0</v>
      </c>
      <c r="AN70">
        <v>0</v>
      </c>
      <c r="AO70">
        <v>0</v>
      </c>
      <c r="AP70">
        <f t="shared" si="10"/>
        <v>0</v>
      </c>
      <c r="AQ70" s="17">
        <v>0</v>
      </c>
      <c r="AR70" s="18">
        <f>VLOOKUP($AH$8, 'Other Lists'!$B$13:$H$15, 7, FALSE)</f>
        <v>184</v>
      </c>
      <c r="AS70" s="18">
        <f>VLOOKUP($AH$8, 'Other Lists'!$B$13:$F$15, 5, FALSE)</f>
        <v>129</v>
      </c>
      <c r="AT70" s="18">
        <f>VLOOKUP($AH$8, 'Other Lists'!$B$13:$G$15, 6, FALSE)</f>
        <v>36</v>
      </c>
      <c r="AU70" s="18">
        <f t="shared" si="12"/>
        <v>165</v>
      </c>
      <c r="AV70" s="18">
        <f>VLOOKUP($AH$84, 'Other Lists'!$B$13:$H$15, 7, FALSE) *AO70</f>
        <v>0</v>
      </c>
      <c r="AW70" s="18">
        <f t="shared" si="13"/>
        <v>0</v>
      </c>
      <c r="AX70" s="18">
        <f t="shared" si="14"/>
        <v>0</v>
      </c>
      <c r="AY70" s="18">
        <f t="shared" si="15"/>
        <v>0</v>
      </c>
      <c r="AZ70">
        <v>0</v>
      </c>
      <c r="BA70">
        <v>0</v>
      </c>
      <c r="BB70">
        <v>0</v>
      </c>
      <c r="BC70">
        <v>0</v>
      </c>
      <c r="BD70">
        <f t="shared" si="16"/>
        <v>0</v>
      </c>
      <c r="BE70">
        <f>VLOOKUP($BE$6, 'Other Lists'!$B$27:$H$32, 7, FALSE) *BB70*8</f>
        <v>0</v>
      </c>
      <c r="BF70">
        <f>VLOOKUP($BF$6, 'Other Lists'!$B$27:$H$32, 7, FALSE) * BC70 * 8</f>
        <v>0</v>
      </c>
      <c r="BG70">
        <f>VLOOKUP($BG$6, 'Other Lists'!$B$27:$H$32, 7, FALSE) * BD70 * 8</f>
        <v>0</v>
      </c>
      <c r="BH70">
        <f t="shared" si="17"/>
        <v>1641.6</v>
      </c>
      <c r="BI70">
        <v>0</v>
      </c>
      <c r="BK70">
        <v>0</v>
      </c>
      <c r="BL70">
        <v>0</v>
      </c>
      <c r="BM70">
        <f>VLOOKUP($BM$6, 'Other Lists'!$B$27:$H$32, 7, FALSE) * BK70 * 8</f>
        <v>0</v>
      </c>
      <c r="BN70">
        <f>VLOOKUP($BN$6, 'Other Lists'!$B$27:$H$32, 7, FALSE) * BL70 * 8</f>
        <v>0</v>
      </c>
      <c r="BO70">
        <f t="shared" si="19"/>
        <v>1641.6</v>
      </c>
    </row>
    <row r="71" spans="2:67">
      <c r="B71">
        <v>223</v>
      </c>
      <c r="C71" s="15">
        <v>45328</v>
      </c>
      <c r="D71">
        <f t="shared" si="0"/>
        <v>3</v>
      </c>
      <c r="E71">
        <v>3</v>
      </c>
      <c r="F71">
        <v>119</v>
      </c>
      <c r="G71">
        <v>640</v>
      </c>
      <c r="H71">
        <v>640</v>
      </c>
      <c r="I71">
        <v>188</v>
      </c>
      <c r="J71">
        <v>1049.9999999999998</v>
      </c>
      <c r="K71">
        <v>0</v>
      </c>
      <c r="L71">
        <v>188</v>
      </c>
      <c r="M71">
        <v>786</v>
      </c>
      <c r="N71">
        <f t="shared" si="1"/>
        <v>0</v>
      </c>
      <c r="O71" s="17">
        <f t="shared" si="2"/>
        <v>1.2281249999999999</v>
      </c>
      <c r="P71" s="19">
        <f>VLOOKUP(F71, 'Other Lists'!$B$13:$H$154, 7, FALSE)</f>
        <v>32</v>
      </c>
      <c r="Q71" s="18">
        <f>VLOOKUP(F71, 'Other Lists'!$B$13:$F$15, 5, FALSE)</f>
        <v>17.8</v>
      </c>
      <c r="R71" s="18">
        <f>VLOOKUP(F71, 'Other Lists'!$B$13:$G$15, 6, FALSE)</f>
        <v>11</v>
      </c>
      <c r="S71" s="18">
        <f t="shared" si="3"/>
        <v>28.8</v>
      </c>
      <c r="T71">
        <f>VLOOKUP(F71, 'Other Lists'!$B$13:$H$15, 7, FALSE) * M71</f>
        <v>25152</v>
      </c>
      <c r="U71">
        <f t="shared" si="4"/>
        <v>18432</v>
      </c>
      <c r="V71">
        <f t="shared" si="5"/>
        <v>6720</v>
      </c>
      <c r="W71">
        <f t="shared" si="6"/>
        <v>-4672</v>
      </c>
      <c r="X71">
        <v>6</v>
      </c>
      <c r="Y71">
        <v>0</v>
      </c>
      <c r="Z71">
        <v>4</v>
      </c>
      <c r="AA71">
        <f t="shared" si="7"/>
        <v>1</v>
      </c>
      <c r="AB71">
        <f>VLOOKUP($AB$6, 'Other Lists'!$B$27:$H$32, 7, FALSE) *Y71*8</f>
        <v>0</v>
      </c>
      <c r="AC71">
        <f>VLOOKUP($AC$6, 'Other Lists'!$B$27:$H$32, 7, FALSE) * Z71 * 8</f>
        <v>1123.2</v>
      </c>
      <c r="AD71">
        <f>VLOOKUP($AD$6, 'Other Lists'!$B$27:$H$32, 7, FALSE) * AA71 * 8</f>
        <v>259.2</v>
      </c>
      <c r="AE71">
        <f t="shared" si="8"/>
        <v>1360.8000000000002</v>
      </c>
      <c r="AF71" s="18">
        <f t="shared" si="9"/>
        <v>2.1262500000000002</v>
      </c>
      <c r="AH71">
        <v>105</v>
      </c>
      <c r="AI71">
        <v>152</v>
      </c>
      <c r="AJ71">
        <v>152</v>
      </c>
      <c r="AK71">
        <v>0</v>
      </c>
      <c r="AL71">
        <v>162</v>
      </c>
      <c r="AM71">
        <v>0</v>
      </c>
      <c r="AN71">
        <v>0</v>
      </c>
      <c r="AO71">
        <v>148</v>
      </c>
      <c r="AP71">
        <f t="shared" si="10"/>
        <v>0</v>
      </c>
      <c r="AQ71" s="17">
        <f t="shared" si="11"/>
        <v>0.97368421052631582</v>
      </c>
      <c r="AR71" s="18">
        <f>VLOOKUP($AH$8, 'Other Lists'!$B$13:$H$15, 7, FALSE)</f>
        <v>184</v>
      </c>
      <c r="AS71" s="18">
        <f>VLOOKUP($AH$8, 'Other Lists'!$B$13:$F$15, 5, FALSE)</f>
        <v>129</v>
      </c>
      <c r="AT71" s="18">
        <f>VLOOKUP($AH$8, 'Other Lists'!$B$13:$G$15, 6, FALSE)</f>
        <v>36</v>
      </c>
      <c r="AU71" s="18">
        <f t="shared" si="12"/>
        <v>165</v>
      </c>
      <c r="AV71" s="18">
        <f>VLOOKUP($AH$84, 'Other Lists'!$B$13:$H$15, 7, FALSE) *AO71</f>
        <v>27232</v>
      </c>
      <c r="AW71" s="18">
        <f t="shared" si="13"/>
        <v>25080</v>
      </c>
      <c r="AX71" s="18">
        <f t="shared" si="14"/>
        <v>2152</v>
      </c>
      <c r="AY71" s="18">
        <f t="shared" si="15"/>
        <v>736</v>
      </c>
      <c r="AZ71">
        <v>6</v>
      </c>
      <c r="BA71">
        <v>6</v>
      </c>
      <c r="BB71">
        <v>0</v>
      </c>
      <c r="BC71">
        <v>3</v>
      </c>
      <c r="BD71">
        <f t="shared" si="16"/>
        <v>1</v>
      </c>
      <c r="BE71">
        <f>VLOOKUP($BE$6, 'Other Lists'!$B$27:$H$32, 7, FALSE) *BB71*8</f>
        <v>0</v>
      </c>
      <c r="BF71">
        <f>VLOOKUP($BF$6, 'Other Lists'!$B$27:$H$32, 7, FALSE) * BC71 * 8</f>
        <v>842.40000000000009</v>
      </c>
      <c r="BG71">
        <f>VLOOKUP($BG$6, 'Other Lists'!$B$27:$H$32, 7, FALSE) * BD71 * 8</f>
        <v>259.2</v>
      </c>
      <c r="BH71">
        <f t="shared" si="17"/>
        <v>1641.6</v>
      </c>
      <c r="BI71">
        <f t="shared" si="18"/>
        <v>10.799999999999999</v>
      </c>
      <c r="BK71">
        <v>2</v>
      </c>
      <c r="BL71">
        <v>1</v>
      </c>
      <c r="BM71">
        <f>VLOOKUP($BM$6, 'Other Lists'!$B$27:$H$32, 7, FALSE) * BK71 * 8</f>
        <v>648</v>
      </c>
      <c r="BN71">
        <f>VLOOKUP($BN$6, 'Other Lists'!$B$27:$H$32, 7, FALSE) * BL71 * 8</f>
        <v>324</v>
      </c>
      <c r="BO71">
        <f t="shared" si="19"/>
        <v>2613.6</v>
      </c>
    </row>
    <row r="72" spans="2:67">
      <c r="B72">
        <v>224</v>
      </c>
      <c r="C72" s="15">
        <v>45329</v>
      </c>
      <c r="D72">
        <f t="shared" si="0"/>
        <v>4</v>
      </c>
      <c r="E72">
        <v>3</v>
      </c>
      <c r="F72">
        <v>201</v>
      </c>
      <c r="G72">
        <v>302</v>
      </c>
      <c r="H72">
        <v>302</v>
      </c>
      <c r="I72">
        <v>138</v>
      </c>
      <c r="J72">
        <v>420</v>
      </c>
      <c r="K72">
        <v>0</v>
      </c>
      <c r="L72">
        <v>138</v>
      </c>
      <c r="M72">
        <v>422</v>
      </c>
      <c r="N72">
        <f t="shared" si="1"/>
        <v>0</v>
      </c>
      <c r="O72" s="17">
        <f t="shared" si="2"/>
        <v>1.3973509933774835</v>
      </c>
      <c r="P72" s="19">
        <f>VLOOKUP(F72, 'Other Lists'!$B$13:$H$154, 7, FALSE)</f>
        <v>71</v>
      </c>
      <c r="Q72" s="18">
        <f>VLOOKUP(F72, 'Other Lists'!$B$13:$F$15, 5, FALSE)</f>
        <v>32.6</v>
      </c>
      <c r="R72" s="18">
        <f>VLOOKUP(F72, 'Other Lists'!$B$13:$G$15, 6, FALSE)</f>
        <v>16.5</v>
      </c>
      <c r="S72" s="18">
        <f t="shared" si="3"/>
        <v>49.1</v>
      </c>
      <c r="T72">
        <f>VLOOKUP(F72, 'Other Lists'!$B$13:$H$15, 7, FALSE) * M72</f>
        <v>29962</v>
      </c>
      <c r="U72">
        <f t="shared" si="4"/>
        <v>14828.2</v>
      </c>
      <c r="V72">
        <f t="shared" si="5"/>
        <v>15133.8</v>
      </c>
      <c r="W72">
        <f t="shared" si="6"/>
        <v>-8520</v>
      </c>
      <c r="X72">
        <v>6</v>
      </c>
      <c r="Y72">
        <v>0</v>
      </c>
      <c r="Z72">
        <v>3</v>
      </c>
      <c r="AA72">
        <f t="shared" si="7"/>
        <v>2</v>
      </c>
      <c r="AB72">
        <f>VLOOKUP($AB$6, 'Other Lists'!$B$27:$H$32, 7, FALSE) *Y72*8</f>
        <v>0</v>
      </c>
      <c r="AC72">
        <f>VLOOKUP($AC$6, 'Other Lists'!$B$27:$H$32, 7, FALSE) * Z72 * 8</f>
        <v>842.40000000000009</v>
      </c>
      <c r="AD72">
        <f>VLOOKUP($AD$6, 'Other Lists'!$B$27:$H$32, 7, FALSE) * AA72 * 8</f>
        <v>518.4</v>
      </c>
      <c r="AE72">
        <f t="shared" si="8"/>
        <v>1360.8000000000002</v>
      </c>
      <c r="AF72" s="18">
        <f t="shared" si="9"/>
        <v>4.5059602649006631</v>
      </c>
      <c r="AH72">
        <v>105</v>
      </c>
      <c r="AI72">
        <v>173</v>
      </c>
      <c r="AJ72">
        <v>160</v>
      </c>
      <c r="AK72">
        <v>18</v>
      </c>
      <c r="AL72">
        <v>162</v>
      </c>
      <c r="AM72">
        <v>53</v>
      </c>
      <c r="AN72">
        <v>71</v>
      </c>
      <c r="AO72">
        <v>174</v>
      </c>
      <c r="AP72">
        <f t="shared" si="10"/>
        <v>13</v>
      </c>
      <c r="AQ72" s="17">
        <f t="shared" si="11"/>
        <v>1.0874999999999999</v>
      </c>
      <c r="AR72" s="18">
        <f>VLOOKUP($AH$8, 'Other Lists'!$B$13:$H$15, 7, FALSE)</f>
        <v>184</v>
      </c>
      <c r="AS72" s="18">
        <f>VLOOKUP($AH$8, 'Other Lists'!$B$13:$F$15, 5, FALSE)</f>
        <v>129</v>
      </c>
      <c r="AT72" s="18">
        <f>VLOOKUP($AH$8, 'Other Lists'!$B$13:$G$15, 6, FALSE)</f>
        <v>36</v>
      </c>
      <c r="AU72" s="18">
        <f t="shared" si="12"/>
        <v>165</v>
      </c>
      <c r="AV72" s="18">
        <f>VLOOKUP($AH$84, 'Other Lists'!$B$13:$H$15, 7, FALSE) *AO72</f>
        <v>32016</v>
      </c>
      <c r="AW72" s="18">
        <f t="shared" si="13"/>
        <v>26400</v>
      </c>
      <c r="AX72" s="18">
        <f t="shared" si="14"/>
        <v>5616</v>
      </c>
      <c r="AY72" s="18">
        <f t="shared" si="15"/>
        <v>-2576</v>
      </c>
      <c r="AZ72">
        <v>6</v>
      </c>
      <c r="BA72">
        <v>6</v>
      </c>
      <c r="BB72">
        <v>0</v>
      </c>
      <c r="BC72">
        <v>4</v>
      </c>
      <c r="BD72">
        <f t="shared" si="16"/>
        <v>0</v>
      </c>
      <c r="BE72">
        <f>VLOOKUP($BE$6, 'Other Lists'!$B$27:$H$32, 7, FALSE) *BB72*8</f>
        <v>0</v>
      </c>
      <c r="BF72">
        <f>VLOOKUP($BF$6, 'Other Lists'!$B$27:$H$32, 7, FALSE) * BC72 * 8</f>
        <v>1123.2</v>
      </c>
      <c r="BG72">
        <f>VLOOKUP($BG$6, 'Other Lists'!$B$27:$H$32, 7, FALSE) * BD72 * 8</f>
        <v>0</v>
      </c>
      <c r="BH72">
        <f t="shared" si="17"/>
        <v>1641.6</v>
      </c>
      <c r="BI72">
        <f t="shared" si="18"/>
        <v>10.26</v>
      </c>
      <c r="BK72">
        <v>2</v>
      </c>
      <c r="BL72">
        <v>1</v>
      </c>
      <c r="BM72">
        <f>VLOOKUP($BM$6, 'Other Lists'!$B$27:$H$32, 7, FALSE) * BK72 * 8</f>
        <v>648</v>
      </c>
      <c r="BN72">
        <f>VLOOKUP($BN$6, 'Other Lists'!$B$27:$H$32, 7, FALSE) * BL72 * 8</f>
        <v>324</v>
      </c>
      <c r="BO72">
        <f t="shared" si="19"/>
        <v>2613.6</v>
      </c>
    </row>
    <row r="73" spans="2:67">
      <c r="B73">
        <v>225</v>
      </c>
      <c r="C73" s="15">
        <v>45330</v>
      </c>
      <c r="D73">
        <f t="shared" ref="D73:D94" si="20">WEEKDAY(C73, 1)</f>
        <v>5</v>
      </c>
      <c r="E73">
        <v>3</v>
      </c>
      <c r="F73">
        <v>119</v>
      </c>
      <c r="G73">
        <v>913</v>
      </c>
      <c r="H73">
        <v>913</v>
      </c>
      <c r="I73">
        <v>17</v>
      </c>
      <c r="J73">
        <v>1049.9999999999998</v>
      </c>
      <c r="K73">
        <v>0</v>
      </c>
      <c r="L73">
        <v>17</v>
      </c>
      <c r="M73">
        <v>902</v>
      </c>
      <c r="N73">
        <f t="shared" ref="N73:N94" si="21">G73-H73</f>
        <v>0</v>
      </c>
      <c r="O73" s="17">
        <f t="shared" ref="O73:O94" si="22">M73/H73</f>
        <v>0.98795180722891562</v>
      </c>
      <c r="P73" s="19">
        <f>VLOOKUP(F73, 'Other Lists'!$B$13:$H$154, 7, FALSE)</f>
        <v>32</v>
      </c>
      <c r="Q73" s="18">
        <f>VLOOKUP(F73, 'Other Lists'!$B$13:$F$15, 5, FALSE)</f>
        <v>17.8</v>
      </c>
      <c r="R73" s="18">
        <f>VLOOKUP(F73, 'Other Lists'!$B$13:$G$15, 6, FALSE)</f>
        <v>11</v>
      </c>
      <c r="S73" s="18">
        <f t="shared" ref="S73:S94" si="23">Q73+R73</f>
        <v>28.8</v>
      </c>
      <c r="T73">
        <f>VLOOKUP(F73, 'Other Lists'!$B$13:$H$15, 7, FALSE) * M73</f>
        <v>28864</v>
      </c>
      <c r="U73">
        <f t="shared" ref="U73:U94" si="24">S73*H73</f>
        <v>26294.400000000001</v>
      </c>
      <c r="V73">
        <f t="shared" ref="V73:V94" si="25">T73-U73</f>
        <v>2569.5999999999985</v>
      </c>
      <c r="W73">
        <f t="shared" ref="W73:W94" si="26">(H73-M73) *P73</f>
        <v>352</v>
      </c>
      <c r="X73">
        <v>6</v>
      </c>
      <c r="Y73">
        <v>0</v>
      </c>
      <c r="Z73">
        <v>3</v>
      </c>
      <c r="AA73">
        <f t="shared" ref="AA73:AA94" si="27">X73-Y73-Z73-1</f>
        <v>2</v>
      </c>
      <c r="AB73">
        <f>VLOOKUP($AB$6, 'Other Lists'!$B$27:$H$32, 7, FALSE) *Y73*8</f>
        <v>0</v>
      </c>
      <c r="AC73">
        <f>VLOOKUP($AC$6, 'Other Lists'!$B$27:$H$32, 7, FALSE) * Z73 * 8</f>
        <v>842.40000000000009</v>
      </c>
      <c r="AD73">
        <f>VLOOKUP($AD$6, 'Other Lists'!$B$27:$H$32, 7, FALSE) * AA73 * 8</f>
        <v>518.4</v>
      </c>
      <c r="AE73">
        <f t="shared" ref="AE73:AE94" si="28">SUM($AB$8:$AD$8)</f>
        <v>1360.8000000000002</v>
      </c>
      <c r="AF73" s="18">
        <f t="shared" ref="AF73:AF94" si="29">AE73/H73</f>
        <v>1.4904709748083245</v>
      </c>
      <c r="AH73">
        <v>105</v>
      </c>
      <c r="AI73">
        <v>183</v>
      </c>
      <c r="AJ73">
        <v>158</v>
      </c>
      <c r="AK73">
        <v>20</v>
      </c>
      <c r="AL73">
        <v>162</v>
      </c>
      <c r="AM73">
        <v>16</v>
      </c>
      <c r="AN73">
        <v>36</v>
      </c>
      <c r="AO73">
        <v>172</v>
      </c>
      <c r="AP73">
        <f t="shared" ref="AP73:AP94" si="30">AI73-AJ73</f>
        <v>25</v>
      </c>
      <c r="AQ73" s="17">
        <f t="shared" ref="AQ73:AQ94" si="31">AO73/AJ73</f>
        <v>1.0886075949367089</v>
      </c>
      <c r="AR73" s="18">
        <f>VLOOKUP($AH$8, 'Other Lists'!$B$13:$H$15, 7, FALSE)</f>
        <v>184</v>
      </c>
      <c r="AS73" s="18">
        <f>VLOOKUP($AH$8, 'Other Lists'!$B$13:$F$15, 5, FALSE)</f>
        <v>129</v>
      </c>
      <c r="AT73" s="18">
        <f>VLOOKUP($AH$8, 'Other Lists'!$B$13:$G$15, 6, FALSE)</f>
        <v>36</v>
      </c>
      <c r="AU73" s="18">
        <f t="shared" ref="AU73:AU94" si="32">AS73+AT73</f>
        <v>165</v>
      </c>
      <c r="AV73" s="18">
        <f>VLOOKUP($AH$84, 'Other Lists'!$B$13:$H$15, 7, FALSE) *AO73</f>
        <v>31648</v>
      </c>
      <c r="AW73" s="18">
        <f t="shared" ref="AW73:AW94" si="33">AU73*AJ73</f>
        <v>26070</v>
      </c>
      <c r="AX73" s="18">
        <f t="shared" ref="AX73:AX94" si="34">AV73-AW73</f>
        <v>5578</v>
      </c>
      <c r="AY73" s="18">
        <f t="shared" ref="AY73:AY94" si="35">(AJ73-AO73)*AR73</f>
        <v>-2576</v>
      </c>
      <c r="AZ73">
        <v>6</v>
      </c>
      <c r="BA73">
        <v>6</v>
      </c>
      <c r="BB73">
        <v>0</v>
      </c>
      <c r="BC73">
        <v>4</v>
      </c>
      <c r="BD73">
        <f t="shared" ref="BD73:BD94" si="36">BA73-BB73-BC73-BK73</f>
        <v>0</v>
      </c>
      <c r="BE73">
        <f>VLOOKUP($BE$6, 'Other Lists'!$B$27:$H$32, 7, FALSE) *BB73*8</f>
        <v>0</v>
      </c>
      <c r="BF73">
        <f>VLOOKUP($BF$6, 'Other Lists'!$B$27:$H$32, 7, FALSE) * BC73 * 8</f>
        <v>1123.2</v>
      </c>
      <c r="BG73">
        <f>VLOOKUP($BG$6, 'Other Lists'!$B$27:$H$32, 7, FALSE) * BD73 * 8</f>
        <v>0</v>
      </c>
      <c r="BH73">
        <f t="shared" ref="BH73:BH94" si="37">SUM($BE$8:$BG$8)</f>
        <v>1641.6</v>
      </c>
      <c r="BI73">
        <f t="shared" ref="BI73:BI94" si="38">BH73/AJ73</f>
        <v>10.389873417721519</v>
      </c>
      <c r="BK73">
        <v>2</v>
      </c>
      <c r="BL73">
        <v>1</v>
      </c>
      <c r="BM73">
        <f>VLOOKUP($BM$6, 'Other Lists'!$B$27:$H$32, 7, FALSE) * BK73 * 8</f>
        <v>648</v>
      </c>
      <c r="BN73">
        <f>VLOOKUP($BN$6, 'Other Lists'!$B$27:$H$32, 7, FALSE) * BL73 * 8</f>
        <v>324</v>
      </c>
      <c r="BO73">
        <f t="shared" ref="BO73:BO94" si="39">SUM(BH73,BM73,BN73)</f>
        <v>2613.6</v>
      </c>
    </row>
    <row r="74" spans="2:67">
      <c r="B74">
        <v>226</v>
      </c>
      <c r="C74" s="15">
        <v>45331</v>
      </c>
      <c r="D74">
        <f t="shared" si="20"/>
        <v>6</v>
      </c>
      <c r="E74">
        <v>3</v>
      </c>
      <c r="F74">
        <v>201</v>
      </c>
      <c r="G74">
        <v>226</v>
      </c>
      <c r="H74">
        <v>226</v>
      </c>
      <c r="I74">
        <v>199</v>
      </c>
      <c r="J74">
        <v>420</v>
      </c>
      <c r="K74">
        <v>0</v>
      </c>
      <c r="L74">
        <v>199</v>
      </c>
      <c r="M74">
        <v>399</v>
      </c>
      <c r="N74">
        <f t="shared" si="21"/>
        <v>0</v>
      </c>
      <c r="O74" s="17">
        <f t="shared" si="22"/>
        <v>1.7654867256637168</v>
      </c>
      <c r="P74" s="19">
        <f>VLOOKUP(F74, 'Other Lists'!$B$13:$H$154, 7, FALSE)</f>
        <v>71</v>
      </c>
      <c r="Q74" s="18">
        <f>VLOOKUP(F74, 'Other Lists'!$B$13:$F$15, 5, FALSE)</f>
        <v>32.6</v>
      </c>
      <c r="R74" s="18">
        <f>VLOOKUP(F74, 'Other Lists'!$B$13:$G$15, 6, FALSE)</f>
        <v>16.5</v>
      </c>
      <c r="S74" s="18">
        <f t="shared" si="23"/>
        <v>49.1</v>
      </c>
      <c r="T74">
        <f>VLOOKUP(F74, 'Other Lists'!$B$13:$H$15, 7, FALSE) * M74</f>
        <v>28329</v>
      </c>
      <c r="U74">
        <f t="shared" si="24"/>
        <v>11096.6</v>
      </c>
      <c r="V74">
        <f t="shared" si="25"/>
        <v>17232.400000000001</v>
      </c>
      <c r="W74">
        <f t="shared" si="26"/>
        <v>-12283</v>
      </c>
      <c r="X74">
        <v>5</v>
      </c>
      <c r="Y74">
        <v>0</v>
      </c>
      <c r="Z74">
        <v>3</v>
      </c>
      <c r="AA74">
        <f t="shared" si="27"/>
        <v>1</v>
      </c>
      <c r="AB74">
        <f>VLOOKUP($AB$6, 'Other Lists'!$B$27:$H$32, 7, FALSE) *Y74*8</f>
        <v>0</v>
      </c>
      <c r="AC74">
        <f>VLOOKUP($AC$6, 'Other Lists'!$B$27:$H$32, 7, FALSE) * Z74 * 8</f>
        <v>842.40000000000009</v>
      </c>
      <c r="AD74">
        <f>VLOOKUP($AD$6, 'Other Lists'!$B$27:$H$32, 7, FALSE) * AA74 * 8</f>
        <v>259.2</v>
      </c>
      <c r="AE74">
        <f t="shared" si="28"/>
        <v>1360.8000000000002</v>
      </c>
      <c r="AF74" s="18">
        <f t="shared" si="29"/>
        <v>6.0212389380530977</v>
      </c>
      <c r="AH74">
        <v>105</v>
      </c>
      <c r="AI74">
        <v>176</v>
      </c>
      <c r="AJ74">
        <v>153</v>
      </c>
      <c r="AK74">
        <v>25</v>
      </c>
      <c r="AL74">
        <v>162</v>
      </c>
      <c r="AM74">
        <v>8</v>
      </c>
      <c r="AN74">
        <v>33</v>
      </c>
      <c r="AO74">
        <v>174</v>
      </c>
      <c r="AP74">
        <f t="shared" si="30"/>
        <v>23</v>
      </c>
      <c r="AQ74" s="17">
        <f t="shared" si="31"/>
        <v>1.1372549019607843</v>
      </c>
      <c r="AR74" s="18">
        <f>VLOOKUP($AH$8, 'Other Lists'!$B$13:$H$15, 7, FALSE)</f>
        <v>184</v>
      </c>
      <c r="AS74" s="18">
        <f>VLOOKUP($AH$8, 'Other Lists'!$B$13:$F$15, 5, FALSE)</f>
        <v>129</v>
      </c>
      <c r="AT74" s="18">
        <f>VLOOKUP($AH$8, 'Other Lists'!$B$13:$G$15, 6, FALSE)</f>
        <v>36</v>
      </c>
      <c r="AU74" s="18">
        <f t="shared" si="32"/>
        <v>165</v>
      </c>
      <c r="AV74" s="18">
        <f>VLOOKUP($AH$84, 'Other Lists'!$B$13:$H$15, 7, FALSE) *AO74</f>
        <v>32016</v>
      </c>
      <c r="AW74" s="18">
        <f t="shared" si="33"/>
        <v>25245</v>
      </c>
      <c r="AX74" s="18">
        <f t="shared" si="34"/>
        <v>6771</v>
      </c>
      <c r="AY74" s="18">
        <f t="shared" si="35"/>
        <v>-3864</v>
      </c>
      <c r="AZ74">
        <v>6</v>
      </c>
      <c r="BA74">
        <v>6</v>
      </c>
      <c r="BB74">
        <v>0</v>
      </c>
      <c r="BC74">
        <v>4</v>
      </c>
      <c r="BD74">
        <f t="shared" si="36"/>
        <v>0</v>
      </c>
      <c r="BE74">
        <f>VLOOKUP($BE$6, 'Other Lists'!$B$27:$H$32, 7, FALSE) *BB74*8</f>
        <v>0</v>
      </c>
      <c r="BF74">
        <f>VLOOKUP($BF$6, 'Other Lists'!$B$27:$H$32, 7, FALSE) * BC74 * 8</f>
        <v>1123.2</v>
      </c>
      <c r="BG74">
        <f>VLOOKUP($BG$6, 'Other Lists'!$B$27:$H$32, 7, FALSE) * BD74 * 8</f>
        <v>0</v>
      </c>
      <c r="BH74">
        <f t="shared" si="37"/>
        <v>1641.6</v>
      </c>
      <c r="BI74">
        <f t="shared" si="38"/>
        <v>10.729411764705882</v>
      </c>
      <c r="BK74">
        <v>2</v>
      </c>
      <c r="BL74">
        <v>1</v>
      </c>
      <c r="BM74">
        <f>VLOOKUP($BM$6, 'Other Lists'!$B$27:$H$32, 7, FALSE) * BK74 * 8</f>
        <v>648</v>
      </c>
      <c r="BN74">
        <f>VLOOKUP($BN$6, 'Other Lists'!$B$27:$H$32, 7, FALSE) * BL74 * 8</f>
        <v>324</v>
      </c>
      <c r="BO74">
        <f t="shared" si="39"/>
        <v>2613.6</v>
      </c>
    </row>
    <row r="75" spans="2:67">
      <c r="B75">
        <v>227</v>
      </c>
      <c r="C75" s="15">
        <v>45332</v>
      </c>
      <c r="D75">
        <f t="shared" si="20"/>
        <v>7</v>
      </c>
      <c r="E75">
        <v>3</v>
      </c>
      <c r="F75">
        <v>119</v>
      </c>
      <c r="G75">
        <v>840</v>
      </c>
      <c r="H75">
        <v>840</v>
      </c>
      <c r="I75">
        <v>205</v>
      </c>
      <c r="J75">
        <v>1049.9999999999998</v>
      </c>
      <c r="K75">
        <v>0</v>
      </c>
      <c r="L75">
        <v>205</v>
      </c>
      <c r="M75">
        <v>1013</v>
      </c>
      <c r="N75">
        <f t="shared" si="21"/>
        <v>0</v>
      </c>
      <c r="O75" s="17">
        <f t="shared" si="22"/>
        <v>1.2059523809523809</v>
      </c>
      <c r="P75" s="19">
        <f>VLOOKUP(F75, 'Other Lists'!$B$13:$H$154, 7, FALSE)</f>
        <v>32</v>
      </c>
      <c r="Q75" s="18">
        <f>VLOOKUP(F75, 'Other Lists'!$B$13:$F$15, 5, FALSE)</f>
        <v>17.8</v>
      </c>
      <c r="R75" s="18">
        <f>VLOOKUP(F75, 'Other Lists'!$B$13:$G$15, 6, FALSE)</f>
        <v>11</v>
      </c>
      <c r="S75" s="18">
        <f t="shared" si="23"/>
        <v>28.8</v>
      </c>
      <c r="T75">
        <f>VLOOKUP(F75, 'Other Lists'!$B$13:$H$15, 7, FALSE) * M75</f>
        <v>32416</v>
      </c>
      <c r="U75">
        <f t="shared" si="24"/>
        <v>24192</v>
      </c>
      <c r="V75">
        <f t="shared" si="25"/>
        <v>8224</v>
      </c>
      <c r="W75">
        <f t="shared" si="26"/>
        <v>-5536</v>
      </c>
      <c r="X75">
        <v>6</v>
      </c>
      <c r="Y75">
        <v>0</v>
      </c>
      <c r="Z75">
        <v>4</v>
      </c>
      <c r="AA75">
        <f t="shared" si="27"/>
        <v>1</v>
      </c>
      <c r="AB75">
        <f>VLOOKUP($AB$6, 'Other Lists'!$B$27:$H$32, 7, FALSE) *Y75*8</f>
        <v>0</v>
      </c>
      <c r="AC75">
        <f>VLOOKUP($AC$6, 'Other Lists'!$B$27:$H$32, 7, FALSE) * Z75 * 8</f>
        <v>1123.2</v>
      </c>
      <c r="AD75">
        <f>VLOOKUP($AD$6, 'Other Lists'!$B$27:$H$32, 7, FALSE) * AA75 * 8</f>
        <v>259.2</v>
      </c>
      <c r="AE75">
        <f t="shared" si="28"/>
        <v>1360.8000000000002</v>
      </c>
      <c r="AF75" s="18">
        <f t="shared" si="29"/>
        <v>1.62</v>
      </c>
      <c r="AH75">
        <v>105</v>
      </c>
      <c r="AI75">
        <v>171</v>
      </c>
      <c r="AJ75">
        <v>133</v>
      </c>
      <c r="AK75">
        <v>24</v>
      </c>
      <c r="AL75">
        <v>162</v>
      </c>
      <c r="AM75">
        <v>0</v>
      </c>
      <c r="AN75">
        <v>24</v>
      </c>
      <c r="AO75">
        <v>147</v>
      </c>
      <c r="AP75">
        <f t="shared" si="30"/>
        <v>38</v>
      </c>
      <c r="AQ75" s="17">
        <f t="shared" si="31"/>
        <v>1.1052631578947369</v>
      </c>
      <c r="AR75" s="18">
        <f>VLOOKUP($AH$8, 'Other Lists'!$B$13:$H$15, 7, FALSE)</f>
        <v>184</v>
      </c>
      <c r="AS75" s="18">
        <f>VLOOKUP($AH$8, 'Other Lists'!$B$13:$F$15, 5, FALSE)</f>
        <v>129</v>
      </c>
      <c r="AT75" s="18">
        <f>VLOOKUP($AH$8, 'Other Lists'!$B$13:$G$15, 6, FALSE)</f>
        <v>36</v>
      </c>
      <c r="AU75" s="18">
        <f t="shared" si="32"/>
        <v>165</v>
      </c>
      <c r="AV75" s="18">
        <f>VLOOKUP($AH$84, 'Other Lists'!$B$13:$H$15, 7, FALSE) *AO75</f>
        <v>27048</v>
      </c>
      <c r="AW75" s="18">
        <f t="shared" si="33"/>
        <v>21945</v>
      </c>
      <c r="AX75" s="18">
        <f t="shared" si="34"/>
        <v>5103</v>
      </c>
      <c r="AY75" s="18">
        <f t="shared" si="35"/>
        <v>-2576</v>
      </c>
      <c r="AZ75">
        <v>6</v>
      </c>
      <c r="BA75">
        <v>5</v>
      </c>
      <c r="BB75">
        <v>0</v>
      </c>
      <c r="BC75">
        <v>3</v>
      </c>
      <c r="BD75">
        <f t="shared" si="36"/>
        <v>0</v>
      </c>
      <c r="BE75">
        <f>VLOOKUP($BE$6, 'Other Lists'!$B$27:$H$32, 7, FALSE) *BB75*8</f>
        <v>0</v>
      </c>
      <c r="BF75">
        <f>VLOOKUP($BF$6, 'Other Lists'!$B$27:$H$32, 7, FALSE) * BC75 * 8</f>
        <v>842.40000000000009</v>
      </c>
      <c r="BG75">
        <f>VLOOKUP($BG$6, 'Other Lists'!$B$27:$H$32, 7, FALSE) * BD75 * 8</f>
        <v>0</v>
      </c>
      <c r="BH75">
        <f t="shared" si="37"/>
        <v>1641.6</v>
      </c>
      <c r="BI75">
        <f t="shared" si="38"/>
        <v>12.342857142857142</v>
      </c>
      <c r="BK75">
        <v>2</v>
      </c>
      <c r="BL75">
        <v>1</v>
      </c>
      <c r="BM75">
        <f>VLOOKUP($BM$6, 'Other Lists'!$B$27:$H$32, 7, FALSE) * BK75 * 8</f>
        <v>648</v>
      </c>
      <c r="BN75">
        <f>VLOOKUP($BN$6, 'Other Lists'!$B$27:$H$32, 7, FALSE) * BL75 * 8</f>
        <v>324</v>
      </c>
      <c r="BO75">
        <f t="shared" si="39"/>
        <v>2613.6</v>
      </c>
    </row>
    <row r="76" spans="2:67">
      <c r="B76">
        <v>228</v>
      </c>
      <c r="C76" s="15">
        <v>45333</v>
      </c>
      <c r="D76">
        <f t="shared" si="20"/>
        <v>1</v>
      </c>
      <c r="E76">
        <v>3</v>
      </c>
      <c r="F76">
        <v>201</v>
      </c>
      <c r="G76">
        <v>0</v>
      </c>
      <c r="H76">
        <v>0</v>
      </c>
      <c r="I76">
        <v>0</v>
      </c>
      <c r="J76">
        <v>0</v>
      </c>
      <c r="K76">
        <v>12</v>
      </c>
      <c r="L76">
        <v>12</v>
      </c>
      <c r="M76">
        <v>0</v>
      </c>
      <c r="N76">
        <f t="shared" si="21"/>
        <v>0</v>
      </c>
      <c r="O76" s="17">
        <v>0</v>
      </c>
      <c r="P76" s="19">
        <f>VLOOKUP(F76, 'Other Lists'!$B$13:$H$154, 7, FALSE)</f>
        <v>71</v>
      </c>
      <c r="Q76" s="18">
        <f>VLOOKUP(F76, 'Other Lists'!$B$13:$F$15, 5, FALSE)</f>
        <v>32.6</v>
      </c>
      <c r="R76" s="18">
        <f>VLOOKUP(F76, 'Other Lists'!$B$13:$G$15, 6, FALSE)</f>
        <v>16.5</v>
      </c>
      <c r="S76" s="18">
        <f t="shared" si="23"/>
        <v>49.1</v>
      </c>
      <c r="T76">
        <f>VLOOKUP(F76, 'Other Lists'!$B$13:$H$15, 7, FALSE) * M76</f>
        <v>0</v>
      </c>
      <c r="U76">
        <f t="shared" si="24"/>
        <v>0</v>
      </c>
      <c r="V76">
        <f t="shared" si="25"/>
        <v>0</v>
      </c>
      <c r="W76">
        <f t="shared" si="26"/>
        <v>0</v>
      </c>
      <c r="X76">
        <v>0</v>
      </c>
      <c r="Y76">
        <v>0</v>
      </c>
      <c r="Z76">
        <v>0</v>
      </c>
      <c r="AA76">
        <f t="shared" si="27"/>
        <v>-1</v>
      </c>
      <c r="AB76">
        <f>VLOOKUP($AB$6, 'Other Lists'!$B$27:$H$32, 7, FALSE) *Y76*8</f>
        <v>0</v>
      </c>
      <c r="AC76">
        <f>VLOOKUP($AC$6, 'Other Lists'!$B$27:$H$32, 7, FALSE) * Z76 * 8</f>
        <v>0</v>
      </c>
      <c r="AD76">
        <f>VLOOKUP($AD$6, 'Other Lists'!$B$27:$H$32, 7, FALSE) * AA76 * 8</f>
        <v>-259.2</v>
      </c>
      <c r="AE76">
        <f t="shared" si="28"/>
        <v>1360.8000000000002</v>
      </c>
      <c r="AF76" s="18">
        <v>0</v>
      </c>
      <c r="AH76">
        <v>105</v>
      </c>
      <c r="AI76">
        <v>0</v>
      </c>
      <c r="AJ76">
        <v>0</v>
      </c>
      <c r="AK76">
        <v>0</v>
      </c>
      <c r="AL76">
        <v>0</v>
      </c>
      <c r="AM76">
        <v>12</v>
      </c>
      <c r="AN76">
        <v>12</v>
      </c>
      <c r="AO76">
        <v>0</v>
      </c>
      <c r="AP76">
        <f t="shared" si="30"/>
        <v>0</v>
      </c>
      <c r="AQ76" s="17">
        <v>0</v>
      </c>
      <c r="AR76" s="18">
        <f>VLOOKUP($AH$8, 'Other Lists'!$B$13:$H$15, 7, FALSE)</f>
        <v>184</v>
      </c>
      <c r="AS76" s="18">
        <f>VLOOKUP($AH$8, 'Other Lists'!$B$13:$F$15, 5, FALSE)</f>
        <v>129</v>
      </c>
      <c r="AT76" s="18">
        <f>VLOOKUP($AH$8, 'Other Lists'!$B$13:$G$15, 6, FALSE)</f>
        <v>36</v>
      </c>
      <c r="AU76" s="18">
        <f t="shared" si="32"/>
        <v>165</v>
      </c>
      <c r="AV76" s="18">
        <f>VLOOKUP($AH$84, 'Other Lists'!$B$13:$H$15, 7, FALSE) *AO76</f>
        <v>0</v>
      </c>
      <c r="AW76" s="18">
        <f t="shared" si="33"/>
        <v>0</v>
      </c>
      <c r="AX76" s="18">
        <f t="shared" si="34"/>
        <v>0</v>
      </c>
      <c r="AY76" s="18">
        <f t="shared" si="35"/>
        <v>0</v>
      </c>
      <c r="AZ76">
        <v>0</v>
      </c>
      <c r="BA76">
        <v>0</v>
      </c>
      <c r="BB76">
        <v>0</v>
      </c>
      <c r="BC76">
        <v>0</v>
      </c>
      <c r="BD76">
        <f t="shared" si="36"/>
        <v>0</v>
      </c>
      <c r="BE76">
        <f>VLOOKUP($BE$6, 'Other Lists'!$B$27:$H$32, 7, FALSE) *BB76*8</f>
        <v>0</v>
      </c>
      <c r="BF76">
        <f>VLOOKUP($BF$6, 'Other Lists'!$B$27:$H$32, 7, FALSE) * BC76 * 8</f>
        <v>0</v>
      </c>
      <c r="BG76">
        <f>VLOOKUP($BG$6, 'Other Lists'!$B$27:$H$32, 7, FALSE) * BD76 * 8</f>
        <v>0</v>
      </c>
      <c r="BH76">
        <f t="shared" si="37"/>
        <v>1641.6</v>
      </c>
      <c r="BI76">
        <v>0</v>
      </c>
      <c r="BK76">
        <v>0</v>
      </c>
      <c r="BL76">
        <v>0</v>
      </c>
      <c r="BM76">
        <f>VLOOKUP($BM$6, 'Other Lists'!$B$27:$H$32, 7, FALSE) * BK76 * 8</f>
        <v>0</v>
      </c>
      <c r="BN76">
        <f>VLOOKUP($BN$6, 'Other Lists'!$B$27:$H$32, 7, FALSE) * BL76 * 8</f>
        <v>0</v>
      </c>
      <c r="BO76">
        <f t="shared" si="39"/>
        <v>1641.6</v>
      </c>
    </row>
    <row r="77" spans="2:67">
      <c r="B77">
        <v>229</v>
      </c>
      <c r="C77" s="15">
        <v>45334</v>
      </c>
      <c r="D77">
        <f t="shared" si="20"/>
        <v>2</v>
      </c>
      <c r="E77">
        <v>3</v>
      </c>
      <c r="F77">
        <v>201</v>
      </c>
      <c r="G77">
        <v>0</v>
      </c>
      <c r="H77">
        <v>0</v>
      </c>
      <c r="I77">
        <v>0</v>
      </c>
      <c r="J77">
        <v>0</v>
      </c>
      <c r="K77">
        <v>0</v>
      </c>
      <c r="L77">
        <v>0</v>
      </c>
      <c r="M77">
        <v>0</v>
      </c>
      <c r="N77">
        <f t="shared" si="21"/>
        <v>0</v>
      </c>
      <c r="O77" s="17">
        <v>0</v>
      </c>
      <c r="P77" s="19">
        <f>VLOOKUP(F77, 'Other Lists'!$B$13:$H$154, 7, FALSE)</f>
        <v>71</v>
      </c>
      <c r="Q77" s="18">
        <f>VLOOKUP(F77, 'Other Lists'!$B$13:$F$15, 5, FALSE)</f>
        <v>32.6</v>
      </c>
      <c r="R77" s="18">
        <f>VLOOKUP(F77, 'Other Lists'!$B$13:$G$15, 6, FALSE)</f>
        <v>16.5</v>
      </c>
      <c r="S77" s="18">
        <f t="shared" si="23"/>
        <v>49.1</v>
      </c>
      <c r="T77">
        <f>VLOOKUP(F77, 'Other Lists'!$B$13:$H$15, 7, FALSE) * M77</f>
        <v>0</v>
      </c>
      <c r="U77">
        <f t="shared" si="24"/>
        <v>0</v>
      </c>
      <c r="V77">
        <f t="shared" si="25"/>
        <v>0</v>
      </c>
      <c r="W77">
        <f t="shared" si="26"/>
        <v>0</v>
      </c>
      <c r="X77">
        <v>0</v>
      </c>
      <c r="Y77">
        <v>0</v>
      </c>
      <c r="Z77">
        <v>0</v>
      </c>
      <c r="AA77">
        <f t="shared" si="27"/>
        <v>-1</v>
      </c>
      <c r="AB77">
        <f>VLOOKUP($AB$6, 'Other Lists'!$B$27:$H$32, 7, FALSE) *Y77*8</f>
        <v>0</v>
      </c>
      <c r="AC77">
        <f>VLOOKUP($AC$6, 'Other Lists'!$B$27:$H$32, 7, FALSE) * Z77 * 8</f>
        <v>0</v>
      </c>
      <c r="AD77">
        <f>VLOOKUP($AD$6, 'Other Lists'!$B$27:$H$32, 7, FALSE) * AA77 * 8</f>
        <v>-259.2</v>
      </c>
      <c r="AE77">
        <f t="shared" si="28"/>
        <v>1360.8000000000002</v>
      </c>
      <c r="AF77" s="18">
        <v>0</v>
      </c>
      <c r="AH77">
        <v>105</v>
      </c>
      <c r="AI77">
        <v>0</v>
      </c>
      <c r="AJ77">
        <v>0</v>
      </c>
      <c r="AK77">
        <v>0</v>
      </c>
      <c r="AL77">
        <v>0</v>
      </c>
      <c r="AM77">
        <v>11</v>
      </c>
      <c r="AN77">
        <v>11</v>
      </c>
      <c r="AO77">
        <v>0</v>
      </c>
      <c r="AP77">
        <f t="shared" si="30"/>
        <v>0</v>
      </c>
      <c r="AQ77" s="17">
        <v>0</v>
      </c>
      <c r="AR77" s="18">
        <f>VLOOKUP($AH$8, 'Other Lists'!$B$13:$H$15, 7, FALSE)</f>
        <v>184</v>
      </c>
      <c r="AS77" s="18">
        <f>VLOOKUP($AH$8, 'Other Lists'!$B$13:$F$15, 5, FALSE)</f>
        <v>129</v>
      </c>
      <c r="AT77" s="18">
        <f>VLOOKUP($AH$8, 'Other Lists'!$B$13:$G$15, 6, FALSE)</f>
        <v>36</v>
      </c>
      <c r="AU77" s="18">
        <f t="shared" si="32"/>
        <v>165</v>
      </c>
      <c r="AV77" s="18">
        <f>VLOOKUP($AH$84, 'Other Lists'!$B$13:$H$15, 7, FALSE) *AO77</f>
        <v>0</v>
      </c>
      <c r="AW77" s="18">
        <f t="shared" si="33"/>
        <v>0</v>
      </c>
      <c r="AX77" s="18">
        <f t="shared" si="34"/>
        <v>0</v>
      </c>
      <c r="AY77" s="18">
        <f t="shared" si="35"/>
        <v>0</v>
      </c>
      <c r="AZ77">
        <v>0</v>
      </c>
      <c r="BA77">
        <v>0</v>
      </c>
      <c r="BB77">
        <v>0</v>
      </c>
      <c r="BC77">
        <v>0</v>
      </c>
      <c r="BD77">
        <f t="shared" si="36"/>
        <v>0</v>
      </c>
      <c r="BE77">
        <f>VLOOKUP($BE$6, 'Other Lists'!$B$27:$H$32, 7, FALSE) *BB77*8</f>
        <v>0</v>
      </c>
      <c r="BF77">
        <f>VLOOKUP($BF$6, 'Other Lists'!$B$27:$H$32, 7, FALSE) * BC77 * 8</f>
        <v>0</v>
      </c>
      <c r="BG77">
        <f>VLOOKUP($BG$6, 'Other Lists'!$B$27:$H$32, 7, FALSE) * BD77 * 8</f>
        <v>0</v>
      </c>
      <c r="BH77">
        <f t="shared" si="37"/>
        <v>1641.6</v>
      </c>
      <c r="BI77">
        <v>0</v>
      </c>
      <c r="BK77">
        <v>0</v>
      </c>
      <c r="BL77">
        <v>0</v>
      </c>
      <c r="BM77">
        <f>VLOOKUP($BM$6, 'Other Lists'!$B$27:$H$32, 7, FALSE) * BK77 * 8</f>
        <v>0</v>
      </c>
      <c r="BN77">
        <f>VLOOKUP($BN$6, 'Other Lists'!$B$27:$H$32, 7, FALSE) * BL77 * 8</f>
        <v>0</v>
      </c>
      <c r="BO77">
        <f t="shared" si="39"/>
        <v>1641.6</v>
      </c>
    </row>
    <row r="78" spans="2:67">
      <c r="B78">
        <v>230</v>
      </c>
      <c r="C78" s="15">
        <v>45335</v>
      </c>
      <c r="D78">
        <f t="shared" si="20"/>
        <v>3</v>
      </c>
      <c r="E78">
        <v>3</v>
      </c>
      <c r="F78">
        <v>201</v>
      </c>
      <c r="G78">
        <v>352</v>
      </c>
      <c r="H78">
        <v>352</v>
      </c>
      <c r="I78">
        <v>0</v>
      </c>
      <c r="J78">
        <v>420</v>
      </c>
      <c r="K78">
        <v>0</v>
      </c>
      <c r="L78">
        <v>0</v>
      </c>
      <c r="M78">
        <v>337</v>
      </c>
      <c r="N78">
        <f t="shared" si="21"/>
        <v>0</v>
      </c>
      <c r="O78" s="17">
        <f t="shared" si="22"/>
        <v>0.95738636363636365</v>
      </c>
      <c r="P78" s="19">
        <f>VLOOKUP(F78, 'Other Lists'!$B$13:$H$154, 7, FALSE)</f>
        <v>71</v>
      </c>
      <c r="Q78" s="18">
        <f>VLOOKUP(F78, 'Other Lists'!$B$13:$F$15, 5, FALSE)</f>
        <v>32.6</v>
      </c>
      <c r="R78" s="18">
        <f>VLOOKUP(F78, 'Other Lists'!$B$13:$G$15, 6, FALSE)</f>
        <v>16.5</v>
      </c>
      <c r="S78" s="18">
        <f t="shared" si="23"/>
        <v>49.1</v>
      </c>
      <c r="T78">
        <f>VLOOKUP(F78, 'Other Lists'!$B$13:$H$15, 7, FALSE) * M78</f>
        <v>23927</v>
      </c>
      <c r="U78">
        <f t="shared" si="24"/>
        <v>17283.2</v>
      </c>
      <c r="V78">
        <f t="shared" si="25"/>
        <v>6643.7999999999993</v>
      </c>
      <c r="W78">
        <f t="shared" si="26"/>
        <v>1065</v>
      </c>
      <c r="X78">
        <v>6</v>
      </c>
      <c r="Y78">
        <v>0</v>
      </c>
      <c r="Z78">
        <v>4</v>
      </c>
      <c r="AA78">
        <f t="shared" si="27"/>
        <v>1</v>
      </c>
      <c r="AB78">
        <f>VLOOKUP($AB$6, 'Other Lists'!$B$27:$H$32, 7, FALSE) *Y78*8</f>
        <v>0</v>
      </c>
      <c r="AC78">
        <f>VLOOKUP($AC$6, 'Other Lists'!$B$27:$H$32, 7, FALSE) * Z78 * 8</f>
        <v>1123.2</v>
      </c>
      <c r="AD78">
        <f>VLOOKUP($AD$6, 'Other Lists'!$B$27:$H$32, 7, FALSE) * AA78 * 8</f>
        <v>259.2</v>
      </c>
      <c r="AE78">
        <f t="shared" si="28"/>
        <v>1360.8000000000002</v>
      </c>
      <c r="AF78" s="18">
        <f t="shared" si="29"/>
        <v>3.8659090909090916</v>
      </c>
      <c r="AH78">
        <v>105</v>
      </c>
      <c r="AI78">
        <v>153</v>
      </c>
      <c r="AJ78">
        <v>153</v>
      </c>
      <c r="AK78">
        <v>2</v>
      </c>
      <c r="AL78">
        <v>162</v>
      </c>
      <c r="AM78">
        <v>0</v>
      </c>
      <c r="AN78">
        <v>2</v>
      </c>
      <c r="AO78">
        <v>151</v>
      </c>
      <c r="AP78">
        <f t="shared" si="30"/>
        <v>0</v>
      </c>
      <c r="AQ78" s="17">
        <f t="shared" si="31"/>
        <v>0.98692810457516345</v>
      </c>
      <c r="AR78" s="18">
        <f>VLOOKUP($AH$8, 'Other Lists'!$B$13:$H$15, 7, FALSE)</f>
        <v>184</v>
      </c>
      <c r="AS78" s="18">
        <f>VLOOKUP($AH$8, 'Other Lists'!$B$13:$F$15, 5, FALSE)</f>
        <v>129</v>
      </c>
      <c r="AT78" s="18">
        <f>VLOOKUP($AH$8, 'Other Lists'!$B$13:$G$15, 6, FALSE)</f>
        <v>36</v>
      </c>
      <c r="AU78" s="18">
        <f t="shared" si="32"/>
        <v>165</v>
      </c>
      <c r="AV78" s="18">
        <f>VLOOKUP($AH$84, 'Other Lists'!$B$13:$H$15, 7, FALSE) *AO78</f>
        <v>27784</v>
      </c>
      <c r="AW78" s="18">
        <f t="shared" si="33"/>
        <v>25245</v>
      </c>
      <c r="AX78" s="18">
        <f t="shared" si="34"/>
        <v>2539</v>
      </c>
      <c r="AY78" s="18">
        <f t="shared" si="35"/>
        <v>368</v>
      </c>
      <c r="AZ78">
        <v>6</v>
      </c>
      <c r="BA78">
        <v>6</v>
      </c>
      <c r="BB78">
        <v>0</v>
      </c>
      <c r="BC78">
        <v>3</v>
      </c>
      <c r="BD78">
        <f t="shared" si="36"/>
        <v>1</v>
      </c>
      <c r="BE78">
        <f>VLOOKUP($BE$6, 'Other Lists'!$B$27:$H$32, 7, FALSE) *BB78*8</f>
        <v>0</v>
      </c>
      <c r="BF78">
        <f>VLOOKUP($BF$6, 'Other Lists'!$B$27:$H$32, 7, FALSE) * BC78 * 8</f>
        <v>842.40000000000009</v>
      </c>
      <c r="BG78">
        <f>VLOOKUP($BG$6, 'Other Lists'!$B$27:$H$32, 7, FALSE) * BD78 * 8</f>
        <v>259.2</v>
      </c>
      <c r="BH78">
        <f t="shared" si="37"/>
        <v>1641.6</v>
      </c>
      <c r="BI78">
        <f t="shared" si="38"/>
        <v>10.729411764705882</v>
      </c>
      <c r="BK78">
        <v>2</v>
      </c>
      <c r="BL78">
        <v>1</v>
      </c>
      <c r="BM78">
        <f>VLOOKUP($BM$6, 'Other Lists'!$B$27:$H$32, 7, FALSE) * BK78 * 8</f>
        <v>648</v>
      </c>
      <c r="BN78">
        <f>VLOOKUP($BN$6, 'Other Lists'!$B$27:$H$32, 7, FALSE) * BL78 * 8</f>
        <v>324</v>
      </c>
      <c r="BO78">
        <f t="shared" si="39"/>
        <v>2613.6</v>
      </c>
    </row>
    <row r="79" spans="2:67">
      <c r="B79">
        <v>231</v>
      </c>
      <c r="C79" s="15">
        <v>45336</v>
      </c>
      <c r="D79">
        <f t="shared" si="20"/>
        <v>4</v>
      </c>
      <c r="E79">
        <v>3</v>
      </c>
      <c r="F79">
        <v>201</v>
      </c>
      <c r="G79">
        <v>298</v>
      </c>
      <c r="H79">
        <v>298</v>
      </c>
      <c r="I79">
        <v>164</v>
      </c>
      <c r="J79">
        <v>420</v>
      </c>
      <c r="K79">
        <v>32</v>
      </c>
      <c r="L79">
        <v>196</v>
      </c>
      <c r="M79">
        <v>443</v>
      </c>
      <c r="N79">
        <f t="shared" si="21"/>
        <v>0</v>
      </c>
      <c r="O79" s="17">
        <f t="shared" si="22"/>
        <v>1.4865771812080537</v>
      </c>
      <c r="P79" s="19">
        <f>VLOOKUP(F79, 'Other Lists'!$B$13:$H$154, 7, FALSE)</f>
        <v>71</v>
      </c>
      <c r="Q79" s="18">
        <f>VLOOKUP(F79, 'Other Lists'!$B$13:$F$15, 5, FALSE)</f>
        <v>32.6</v>
      </c>
      <c r="R79" s="18">
        <f>VLOOKUP(F79, 'Other Lists'!$B$13:$G$15, 6, FALSE)</f>
        <v>16.5</v>
      </c>
      <c r="S79" s="18">
        <f t="shared" si="23"/>
        <v>49.1</v>
      </c>
      <c r="T79">
        <f>VLOOKUP(F79, 'Other Lists'!$B$13:$H$15, 7, FALSE) * M79</f>
        <v>31453</v>
      </c>
      <c r="U79">
        <f t="shared" si="24"/>
        <v>14631.800000000001</v>
      </c>
      <c r="V79">
        <f t="shared" si="25"/>
        <v>16821.199999999997</v>
      </c>
      <c r="W79">
        <f t="shared" si="26"/>
        <v>-10295</v>
      </c>
      <c r="X79">
        <v>5</v>
      </c>
      <c r="Y79">
        <v>0</v>
      </c>
      <c r="Z79">
        <v>4</v>
      </c>
      <c r="AA79">
        <f t="shared" si="27"/>
        <v>0</v>
      </c>
      <c r="AB79">
        <f>VLOOKUP($AB$6, 'Other Lists'!$B$27:$H$32, 7, FALSE) *Y79*8</f>
        <v>0</v>
      </c>
      <c r="AC79">
        <f>VLOOKUP($AC$6, 'Other Lists'!$B$27:$H$32, 7, FALSE) * Z79 * 8</f>
        <v>1123.2</v>
      </c>
      <c r="AD79">
        <f>VLOOKUP($AD$6, 'Other Lists'!$B$27:$H$32, 7, FALSE) * AA79 * 8</f>
        <v>0</v>
      </c>
      <c r="AE79">
        <f t="shared" si="28"/>
        <v>1360.8000000000002</v>
      </c>
      <c r="AF79" s="18">
        <f t="shared" si="29"/>
        <v>4.5664429530201351</v>
      </c>
      <c r="AH79">
        <v>105</v>
      </c>
      <c r="AI79">
        <v>153</v>
      </c>
      <c r="AJ79">
        <v>153</v>
      </c>
      <c r="AK79">
        <v>25</v>
      </c>
      <c r="AL79">
        <v>162</v>
      </c>
      <c r="AM79">
        <v>4</v>
      </c>
      <c r="AN79">
        <v>29</v>
      </c>
      <c r="AO79">
        <v>165</v>
      </c>
      <c r="AP79">
        <f t="shared" si="30"/>
        <v>0</v>
      </c>
      <c r="AQ79" s="17">
        <f t="shared" si="31"/>
        <v>1.0784313725490196</v>
      </c>
      <c r="AR79" s="18">
        <f>VLOOKUP($AH$8, 'Other Lists'!$B$13:$H$15, 7, FALSE)</f>
        <v>184</v>
      </c>
      <c r="AS79" s="18">
        <f>VLOOKUP($AH$8, 'Other Lists'!$B$13:$F$15, 5, FALSE)</f>
        <v>129</v>
      </c>
      <c r="AT79" s="18">
        <f>VLOOKUP($AH$8, 'Other Lists'!$B$13:$G$15, 6, FALSE)</f>
        <v>36</v>
      </c>
      <c r="AU79" s="18">
        <f t="shared" si="32"/>
        <v>165</v>
      </c>
      <c r="AV79" s="18">
        <f>VLOOKUP($AH$84, 'Other Lists'!$B$13:$H$15, 7, FALSE) *AO79</f>
        <v>30360</v>
      </c>
      <c r="AW79" s="18">
        <f t="shared" si="33"/>
        <v>25245</v>
      </c>
      <c r="AX79" s="18">
        <f t="shared" si="34"/>
        <v>5115</v>
      </c>
      <c r="AY79" s="18">
        <f t="shared" si="35"/>
        <v>-2208</v>
      </c>
      <c r="AZ79">
        <v>6</v>
      </c>
      <c r="BA79">
        <v>6</v>
      </c>
      <c r="BB79">
        <v>0</v>
      </c>
      <c r="BC79">
        <v>3</v>
      </c>
      <c r="BD79">
        <f t="shared" si="36"/>
        <v>1</v>
      </c>
      <c r="BE79">
        <f>VLOOKUP($BE$6, 'Other Lists'!$B$27:$H$32, 7, FALSE) *BB79*8</f>
        <v>0</v>
      </c>
      <c r="BF79">
        <f>VLOOKUP($BF$6, 'Other Lists'!$B$27:$H$32, 7, FALSE) * BC79 * 8</f>
        <v>842.40000000000009</v>
      </c>
      <c r="BG79">
        <f>VLOOKUP($BG$6, 'Other Lists'!$B$27:$H$32, 7, FALSE) * BD79 * 8</f>
        <v>259.2</v>
      </c>
      <c r="BH79">
        <f t="shared" si="37"/>
        <v>1641.6</v>
      </c>
      <c r="BI79">
        <f t="shared" si="38"/>
        <v>10.729411764705882</v>
      </c>
      <c r="BK79">
        <v>2</v>
      </c>
      <c r="BL79">
        <v>1</v>
      </c>
      <c r="BM79">
        <f>VLOOKUP($BM$6, 'Other Lists'!$B$27:$H$32, 7, FALSE) * BK79 * 8</f>
        <v>648</v>
      </c>
      <c r="BN79">
        <f>VLOOKUP($BN$6, 'Other Lists'!$B$27:$H$32, 7, FALSE) * BL79 * 8</f>
        <v>324</v>
      </c>
      <c r="BO79">
        <f t="shared" si="39"/>
        <v>2613.6</v>
      </c>
    </row>
    <row r="80" spans="2:67">
      <c r="B80">
        <v>232</v>
      </c>
      <c r="C80" s="15">
        <v>45337</v>
      </c>
      <c r="D80">
        <f t="shared" si="20"/>
        <v>5</v>
      </c>
      <c r="E80">
        <v>3</v>
      </c>
      <c r="F80">
        <v>119</v>
      </c>
      <c r="G80">
        <v>819</v>
      </c>
      <c r="H80">
        <v>819</v>
      </c>
      <c r="I80">
        <v>95</v>
      </c>
      <c r="J80">
        <v>1049.9999999999998</v>
      </c>
      <c r="K80">
        <v>0</v>
      </c>
      <c r="L80">
        <v>95</v>
      </c>
      <c r="M80">
        <v>868</v>
      </c>
      <c r="N80">
        <f t="shared" si="21"/>
        <v>0</v>
      </c>
      <c r="O80" s="17">
        <f t="shared" si="22"/>
        <v>1.0598290598290598</v>
      </c>
      <c r="P80" s="19">
        <f>VLOOKUP(F80, 'Other Lists'!$B$13:$H$154, 7, FALSE)</f>
        <v>32</v>
      </c>
      <c r="Q80" s="18">
        <f>VLOOKUP(F80, 'Other Lists'!$B$13:$F$15, 5, FALSE)</f>
        <v>17.8</v>
      </c>
      <c r="R80" s="18">
        <f>VLOOKUP(F80, 'Other Lists'!$B$13:$G$15, 6, FALSE)</f>
        <v>11</v>
      </c>
      <c r="S80" s="18">
        <f t="shared" si="23"/>
        <v>28.8</v>
      </c>
      <c r="T80">
        <f>VLOOKUP(F80, 'Other Lists'!$B$13:$H$15, 7, FALSE) * M80</f>
        <v>27776</v>
      </c>
      <c r="U80">
        <f t="shared" si="24"/>
        <v>23587.200000000001</v>
      </c>
      <c r="V80">
        <f t="shared" si="25"/>
        <v>4188.7999999999993</v>
      </c>
      <c r="W80">
        <f t="shared" si="26"/>
        <v>-1568</v>
      </c>
      <c r="X80">
        <v>6</v>
      </c>
      <c r="Y80">
        <v>0</v>
      </c>
      <c r="Z80">
        <v>4</v>
      </c>
      <c r="AA80">
        <f t="shared" si="27"/>
        <v>1</v>
      </c>
      <c r="AB80">
        <f>VLOOKUP($AB$6, 'Other Lists'!$B$27:$H$32, 7, FALSE) *Y80*8</f>
        <v>0</v>
      </c>
      <c r="AC80">
        <f>VLOOKUP($AC$6, 'Other Lists'!$B$27:$H$32, 7, FALSE) * Z80 * 8</f>
        <v>1123.2</v>
      </c>
      <c r="AD80">
        <f>VLOOKUP($AD$6, 'Other Lists'!$B$27:$H$32, 7, FALSE) * AA80 * 8</f>
        <v>259.2</v>
      </c>
      <c r="AE80">
        <f t="shared" si="28"/>
        <v>1360.8000000000002</v>
      </c>
      <c r="AF80" s="18">
        <f t="shared" si="29"/>
        <v>1.6615384615384619</v>
      </c>
      <c r="AH80">
        <v>105</v>
      </c>
      <c r="AI80">
        <v>162</v>
      </c>
      <c r="AJ80">
        <v>155</v>
      </c>
      <c r="AK80">
        <v>0</v>
      </c>
      <c r="AL80">
        <v>162</v>
      </c>
      <c r="AM80">
        <v>0</v>
      </c>
      <c r="AN80">
        <v>0</v>
      </c>
      <c r="AO80">
        <v>150</v>
      </c>
      <c r="AP80">
        <f t="shared" si="30"/>
        <v>7</v>
      </c>
      <c r="AQ80" s="17">
        <f t="shared" si="31"/>
        <v>0.967741935483871</v>
      </c>
      <c r="AR80" s="18">
        <f>VLOOKUP($AH$8, 'Other Lists'!$B$13:$H$15, 7, FALSE)</f>
        <v>184</v>
      </c>
      <c r="AS80" s="18">
        <f>VLOOKUP($AH$8, 'Other Lists'!$B$13:$F$15, 5, FALSE)</f>
        <v>129</v>
      </c>
      <c r="AT80" s="18">
        <f>VLOOKUP($AH$8, 'Other Lists'!$B$13:$G$15, 6, FALSE)</f>
        <v>36</v>
      </c>
      <c r="AU80" s="18">
        <f t="shared" si="32"/>
        <v>165</v>
      </c>
      <c r="AV80" s="18">
        <f>VLOOKUP($AH$84, 'Other Lists'!$B$13:$H$15, 7, FALSE) *AO80</f>
        <v>27600</v>
      </c>
      <c r="AW80" s="18">
        <f t="shared" si="33"/>
        <v>25575</v>
      </c>
      <c r="AX80" s="18">
        <f t="shared" si="34"/>
        <v>2025</v>
      </c>
      <c r="AY80" s="18">
        <f t="shared" si="35"/>
        <v>920</v>
      </c>
      <c r="AZ80">
        <v>6</v>
      </c>
      <c r="BA80">
        <v>6</v>
      </c>
      <c r="BB80">
        <v>0</v>
      </c>
      <c r="BC80">
        <v>4</v>
      </c>
      <c r="BD80">
        <f t="shared" si="36"/>
        <v>0</v>
      </c>
      <c r="BE80">
        <f>VLOOKUP($BE$6, 'Other Lists'!$B$27:$H$32, 7, FALSE) *BB80*8</f>
        <v>0</v>
      </c>
      <c r="BF80">
        <f>VLOOKUP($BF$6, 'Other Lists'!$B$27:$H$32, 7, FALSE) * BC80 * 8</f>
        <v>1123.2</v>
      </c>
      <c r="BG80">
        <f>VLOOKUP($BG$6, 'Other Lists'!$B$27:$H$32, 7, FALSE) * BD80 * 8</f>
        <v>0</v>
      </c>
      <c r="BH80">
        <f t="shared" si="37"/>
        <v>1641.6</v>
      </c>
      <c r="BI80">
        <f t="shared" si="38"/>
        <v>10.590967741935483</v>
      </c>
      <c r="BK80">
        <v>2</v>
      </c>
      <c r="BL80">
        <v>1</v>
      </c>
      <c r="BM80">
        <f>VLOOKUP($BM$6, 'Other Lists'!$B$27:$H$32, 7, FALSE) * BK80 * 8</f>
        <v>648</v>
      </c>
      <c r="BN80">
        <f>VLOOKUP($BN$6, 'Other Lists'!$B$27:$H$32, 7, FALSE) * BL80 * 8</f>
        <v>324</v>
      </c>
      <c r="BO80">
        <f t="shared" si="39"/>
        <v>2613.6</v>
      </c>
    </row>
    <row r="81" spans="2:67">
      <c r="B81">
        <v>233</v>
      </c>
      <c r="C81" s="15">
        <v>45338</v>
      </c>
      <c r="D81">
        <f t="shared" si="20"/>
        <v>6</v>
      </c>
      <c r="E81">
        <v>3</v>
      </c>
      <c r="F81">
        <v>119</v>
      </c>
      <c r="G81">
        <v>892</v>
      </c>
      <c r="H81">
        <v>892</v>
      </c>
      <c r="I81">
        <v>122</v>
      </c>
      <c r="J81">
        <v>1049.9999999999998</v>
      </c>
      <c r="K81">
        <v>0</v>
      </c>
      <c r="L81">
        <v>122</v>
      </c>
      <c r="M81">
        <v>973</v>
      </c>
      <c r="N81">
        <f t="shared" si="21"/>
        <v>0</v>
      </c>
      <c r="O81" s="17">
        <f t="shared" si="22"/>
        <v>1.0908071748878925</v>
      </c>
      <c r="P81" s="19">
        <f>VLOOKUP(F81, 'Other Lists'!$B$13:$H$154, 7, FALSE)</f>
        <v>32</v>
      </c>
      <c r="Q81" s="18">
        <f>VLOOKUP(F81, 'Other Lists'!$B$13:$F$15, 5, FALSE)</f>
        <v>17.8</v>
      </c>
      <c r="R81" s="18">
        <f>VLOOKUP(F81, 'Other Lists'!$B$13:$G$15, 6, FALSE)</f>
        <v>11</v>
      </c>
      <c r="S81" s="18">
        <f t="shared" si="23"/>
        <v>28.8</v>
      </c>
      <c r="T81">
        <f>VLOOKUP(F81, 'Other Lists'!$B$13:$H$15, 7, FALSE) * M81</f>
        <v>31136</v>
      </c>
      <c r="U81">
        <f t="shared" si="24"/>
        <v>25689.600000000002</v>
      </c>
      <c r="V81">
        <f t="shared" si="25"/>
        <v>5446.3999999999978</v>
      </c>
      <c r="W81">
        <f t="shared" si="26"/>
        <v>-2592</v>
      </c>
      <c r="X81">
        <v>6</v>
      </c>
      <c r="Y81">
        <v>0</v>
      </c>
      <c r="Z81">
        <v>3</v>
      </c>
      <c r="AA81">
        <f t="shared" si="27"/>
        <v>2</v>
      </c>
      <c r="AB81">
        <f>VLOOKUP($AB$6, 'Other Lists'!$B$27:$H$32, 7, FALSE) *Y81*8</f>
        <v>0</v>
      </c>
      <c r="AC81">
        <f>VLOOKUP($AC$6, 'Other Lists'!$B$27:$H$32, 7, FALSE) * Z81 * 8</f>
        <v>842.40000000000009</v>
      </c>
      <c r="AD81">
        <f>VLOOKUP($AD$6, 'Other Lists'!$B$27:$H$32, 7, FALSE) * AA81 * 8</f>
        <v>518.4</v>
      </c>
      <c r="AE81">
        <f t="shared" si="28"/>
        <v>1360.8000000000002</v>
      </c>
      <c r="AF81" s="18">
        <f t="shared" si="29"/>
        <v>1.5255605381165922</v>
      </c>
      <c r="AH81">
        <v>105</v>
      </c>
      <c r="AI81">
        <v>189</v>
      </c>
      <c r="AJ81">
        <v>158</v>
      </c>
      <c r="AK81">
        <v>0</v>
      </c>
      <c r="AL81">
        <v>162</v>
      </c>
      <c r="AM81">
        <v>0</v>
      </c>
      <c r="AN81">
        <v>0</v>
      </c>
      <c r="AO81">
        <v>151</v>
      </c>
      <c r="AP81">
        <f t="shared" si="30"/>
        <v>31</v>
      </c>
      <c r="AQ81" s="17">
        <f t="shared" si="31"/>
        <v>0.95569620253164556</v>
      </c>
      <c r="AR81" s="18">
        <f>VLOOKUP($AH$8, 'Other Lists'!$B$13:$H$15, 7, FALSE)</f>
        <v>184</v>
      </c>
      <c r="AS81" s="18">
        <f>VLOOKUP($AH$8, 'Other Lists'!$B$13:$F$15, 5, FALSE)</f>
        <v>129</v>
      </c>
      <c r="AT81" s="18">
        <f>VLOOKUP($AH$8, 'Other Lists'!$B$13:$G$15, 6, FALSE)</f>
        <v>36</v>
      </c>
      <c r="AU81" s="18">
        <f t="shared" si="32"/>
        <v>165</v>
      </c>
      <c r="AV81" s="18">
        <f>VLOOKUP($AH$84, 'Other Lists'!$B$13:$H$15, 7, FALSE) *AO81</f>
        <v>27784</v>
      </c>
      <c r="AW81" s="18">
        <f t="shared" si="33"/>
        <v>26070</v>
      </c>
      <c r="AX81" s="18">
        <f t="shared" si="34"/>
        <v>1714</v>
      </c>
      <c r="AY81" s="18">
        <f t="shared" si="35"/>
        <v>1288</v>
      </c>
      <c r="AZ81">
        <v>6</v>
      </c>
      <c r="BA81">
        <v>6</v>
      </c>
      <c r="BB81">
        <v>0</v>
      </c>
      <c r="BC81">
        <v>3</v>
      </c>
      <c r="BD81">
        <f t="shared" si="36"/>
        <v>1</v>
      </c>
      <c r="BE81">
        <f>VLOOKUP($BE$6, 'Other Lists'!$B$27:$H$32, 7, FALSE) *BB81*8</f>
        <v>0</v>
      </c>
      <c r="BF81">
        <f>VLOOKUP($BF$6, 'Other Lists'!$B$27:$H$32, 7, FALSE) * BC81 * 8</f>
        <v>842.40000000000009</v>
      </c>
      <c r="BG81">
        <f>VLOOKUP($BG$6, 'Other Lists'!$B$27:$H$32, 7, FALSE) * BD81 * 8</f>
        <v>259.2</v>
      </c>
      <c r="BH81">
        <f t="shared" si="37"/>
        <v>1641.6</v>
      </c>
      <c r="BI81">
        <f t="shared" si="38"/>
        <v>10.389873417721519</v>
      </c>
      <c r="BK81">
        <v>2</v>
      </c>
      <c r="BL81">
        <v>1</v>
      </c>
      <c r="BM81">
        <f>VLOOKUP($BM$6, 'Other Lists'!$B$27:$H$32, 7, FALSE) * BK81 * 8</f>
        <v>648</v>
      </c>
      <c r="BN81">
        <f>VLOOKUP($BN$6, 'Other Lists'!$B$27:$H$32, 7, FALSE) * BL81 * 8</f>
        <v>324</v>
      </c>
      <c r="BO81">
        <f t="shared" si="39"/>
        <v>2613.6</v>
      </c>
    </row>
    <row r="82" spans="2:67">
      <c r="B82">
        <v>234</v>
      </c>
      <c r="C82" s="15">
        <v>45339</v>
      </c>
      <c r="D82">
        <f t="shared" si="20"/>
        <v>7</v>
      </c>
      <c r="E82">
        <v>3</v>
      </c>
      <c r="F82">
        <v>119</v>
      </c>
      <c r="G82">
        <v>619</v>
      </c>
      <c r="H82">
        <v>619</v>
      </c>
      <c r="I82">
        <v>149</v>
      </c>
      <c r="J82">
        <v>1049.9999999999998</v>
      </c>
      <c r="K82">
        <v>0</v>
      </c>
      <c r="L82">
        <v>149</v>
      </c>
      <c r="M82">
        <v>729</v>
      </c>
      <c r="N82">
        <f t="shared" si="21"/>
        <v>0</v>
      </c>
      <c r="O82" s="17">
        <f t="shared" si="22"/>
        <v>1.1777059773828755</v>
      </c>
      <c r="P82" s="19">
        <f>VLOOKUP(F82, 'Other Lists'!$B$13:$H$154, 7, FALSE)</f>
        <v>32</v>
      </c>
      <c r="Q82" s="18">
        <f>VLOOKUP(F82, 'Other Lists'!$B$13:$F$15, 5, FALSE)</f>
        <v>17.8</v>
      </c>
      <c r="R82" s="18">
        <f>VLOOKUP(F82, 'Other Lists'!$B$13:$G$15, 6, FALSE)</f>
        <v>11</v>
      </c>
      <c r="S82" s="18">
        <f t="shared" si="23"/>
        <v>28.8</v>
      </c>
      <c r="T82">
        <f>VLOOKUP(F82, 'Other Lists'!$B$13:$H$15, 7, FALSE) * M82</f>
        <v>23328</v>
      </c>
      <c r="U82">
        <f t="shared" si="24"/>
        <v>17827.2</v>
      </c>
      <c r="V82">
        <f t="shared" si="25"/>
        <v>5500.7999999999993</v>
      </c>
      <c r="W82">
        <f t="shared" si="26"/>
        <v>-3520</v>
      </c>
      <c r="X82">
        <v>6</v>
      </c>
      <c r="Y82">
        <v>0</v>
      </c>
      <c r="Z82">
        <v>3</v>
      </c>
      <c r="AA82">
        <f t="shared" si="27"/>
        <v>2</v>
      </c>
      <c r="AB82">
        <f>VLOOKUP($AB$6, 'Other Lists'!$B$27:$H$32, 7, FALSE) *Y82*8</f>
        <v>0</v>
      </c>
      <c r="AC82">
        <f>VLOOKUP($AC$6, 'Other Lists'!$B$27:$H$32, 7, FALSE) * Z82 * 8</f>
        <v>842.40000000000009</v>
      </c>
      <c r="AD82">
        <f>VLOOKUP($AD$6, 'Other Lists'!$B$27:$H$32, 7, FALSE) * AA82 * 8</f>
        <v>518.4</v>
      </c>
      <c r="AE82">
        <f t="shared" si="28"/>
        <v>1360.8000000000002</v>
      </c>
      <c r="AF82" s="18">
        <f t="shared" si="29"/>
        <v>2.1983844911147012</v>
      </c>
      <c r="AH82">
        <v>105</v>
      </c>
      <c r="AI82">
        <v>140</v>
      </c>
      <c r="AJ82">
        <v>140</v>
      </c>
      <c r="AK82">
        <v>38</v>
      </c>
      <c r="AL82">
        <v>162</v>
      </c>
      <c r="AM82">
        <v>5</v>
      </c>
      <c r="AN82">
        <v>43</v>
      </c>
      <c r="AO82">
        <v>165</v>
      </c>
      <c r="AP82">
        <f t="shared" si="30"/>
        <v>0</v>
      </c>
      <c r="AQ82" s="17">
        <f t="shared" si="31"/>
        <v>1.1785714285714286</v>
      </c>
      <c r="AR82" s="18">
        <f>VLOOKUP($AH$8, 'Other Lists'!$B$13:$H$15, 7, FALSE)</f>
        <v>184</v>
      </c>
      <c r="AS82" s="18">
        <f>VLOOKUP($AH$8, 'Other Lists'!$B$13:$F$15, 5, FALSE)</f>
        <v>129</v>
      </c>
      <c r="AT82" s="18">
        <f>VLOOKUP($AH$8, 'Other Lists'!$B$13:$G$15, 6, FALSE)</f>
        <v>36</v>
      </c>
      <c r="AU82" s="18">
        <f t="shared" si="32"/>
        <v>165</v>
      </c>
      <c r="AV82" s="18">
        <f>VLOOKUP($AH$84, 'Other Lists'!$B$13:$H$15, 7, FALSE) *AO82</f>
        <v>30360</v>
      </c>
      <c r="AW82" s="18">
        <f t="shared" si="33"/>
        <v>23100</v>
      </c>
      <c r="AX82" s="18">
        <f t="shared" si="34"/>
        <v>7260</v>
      </c>
      <c r="AY82" s="18">
        <f t="shared" si="35"/>
        <v>-4600</v>
      </c>
      <c r="AZ82">
        <v>6</v>
      </c>
      <c r="BA82">
        <v>6</v>
      </c>
      <c r="BB82">
        <v>0</v>
      </c>
      <c r="BC82">
        <v>3</v>
      </c>
      <c r="BD82">
        <f t="shared" si="36"/>
        <v>1</v>
      </c>
      <c r="BE82">
        <f>VLOOKUP($BE$6, 'Other Lists'!$B$27:$H$32, 7, FALSE) *BB82*8</f>
        <v>0</v>
      </c>
      <c r="BF82">
        <f>VLOOKUP($BF$6, 'Other Lists'!$B$27:$H$32, 7, FALSE) * BC82 * 8</f>
        <v>842.40000000000009</v>
      </c>
      <c r="BG82">
        <f>VLOOKUP($BG$6, 'Other Lists'!$B$27:$H$32, 7, FALSE) * BD82 * 8</f>
        <v>259.2</v>
      </c>
      <c r="BH82">
        <f t="shared" si="37"/>
        <v>1641.6</v>
      </c>
      <c r="BI82">
        <f t="shared" si="38"/>
        <v>11.725714285714284</v>
      </c>
      <c r="BK82">
        <v>2</v>
      </c>
      <c r="BL82">
        <v>1</v>
      </c>
      <c r="BM82">
        <f>VLOOKUP($BM$6, 'Other Lists'!$B$27:$H$32, 7, FALSE) * BK82 * 8</f>
        <v>648</v>
      </c>
      <c r="BN82">
        <f>VLOOKUP($BN$6, 'Other Lists'!$B$27:$H$32, 7, FALSE) * BL82 * 8</f>
        <v>324</v>
      </c>
      <c r="BO82">
        <f t="shared" si="39"/>
        <v>2613.6</v>
      </c>
    </row>
    <row r="83" spans="2:67">
      <c r="B83">
        <v>235</v>
      </c>
      <c r="C83" s="15">
        <v>45340</v>
      </c>
      <c r="D83">
        <f t="shared" si="20"/>
        <v>1</v>
      </c>
      <c r="E83">
        <v>3</v>
      </c>
      <c r="F83">
        <v>119</v>
      </c>
      <c r="G83">
        <v>0</v>
      </c>
      <c r="H83">
        <v>0</v>
      </c>
      <c r="I83">
        <v>0</v>
      </c>
      <c r="J83">
        <v>0</v>
      </c>
      <c r="K83">
        <v>51</v>
      </c>
      <c r="L83">
        <v>51</v>
      </c>
      <c r="M83">
        <v>0</v>
      </c>
      <c r="N83">
        <f t="shared" si="21"/>
        <v>0</v>
      </c>
      <c r="O83" s="17">
        <v>0</v>
      </c>
      <c r="P83" s="19">
        <f>VLOOKUP(F83, 'Other Lists'!$B$13:$H$154, 7, FALSE)</f>
        <v>32</v>
      </c>
      <c r="Q83" s="18">
        <f>VLOOKUP(F83, 'Other Lists'!$B$13:$F$15, 5, FALSE)</f>
        <v>17.8</v>
      </c>
      <c r="R83" s="18">
        <f>VLOOKUP(F83, 'Other Lists'!$B$13:$G$15, 6, FALSE)</f>
        <v>11</v>
      </c>
      <c r="S83" s="18">
        <f t="shared" si="23"/>
        <v>28.8</v>
      </c>
      <c r="T83">
        <f>VLOOKUP(F83, 'Other Lists'!$B$13:$H$15, 7, FALSE) * M83</f>
        <v>0</v>
      </c>
      <c r="U83">
        <f t="shared" si="24"/>
        <v>0</v>
      </c>
      <c r="V83">
        <f t="shared" si="25"/>
        <v>0</v>
      </c>
      <c r="W83">
        <f t="shared" si="26"/>
        <v>0</v>
      </c>
      <c r="X83">
        <v>0</v>
      </c>
      <c r="Y83">
        <v>0</v>
      </c>
      <c r="Z83">
        <v>0</v>
      </c>
      <c r="AA83">
        <f t="shared" si="27"/>
        <v>-1</v>
      </c>
      <c r="AB83">
        <f>VLOOKUP($AB$6, 'Other Lists'!$B$27:$H$32, 7, FALSE) *Y83*8</f>
        <v>0</v>
      </c>
      <c r="AC83">
        <f>VLOOKUP($AC$6, 'Other Lists'!$B$27:$H$32, 7, FALSE) * Z83 * 8</f>
        <v>0</v>
      </c>
      <c r="AD83">
        <f>VLOOKUP($AD$6, 'Other Lists'!$B$27:$H$32, 7, FALSE) * AA83 * 8</f>
        <v>-259.2</v>
      </c>
      <c r="AE83">
        <f t="shared" si="28"/>
        <v>1360.8000000000002</v>
      </c>
      <c r="AF83" s="18">
        <v>0</v>
      </c>
      <c r="AH83">
        <v>105</v>
      </c>
      <c r="AI83">
        <v>0</v>
      </c>
      <c r="AJ83">
        <v>0</v>
      </c>
      <c r="AK83">
        <v>0</v>
      </c>
      <c r="AL83">
        <v>0</v>
      </c>
      <c r="AM83">
        <v>16</v>
      </c>
      <c r="AN83">
        <v>16</v>
      </c>
      <c r="AO83">
        <v>0</v>
      </c>
      <c r="AP83">
        <f t="shared" si="30"/>
        <v>0</v>
      </c>
      <c r="AQ83" s="17">
        <v>0</v>
      </c>
      <c r="AR83" s="18">
        <f>VLOOKUP($AH$8, 'Other Lists'!$B$13:$H$15, 7, FALSE)</f>
        <v>184</v>
      </c>
      <c r="AS83" s="18">
        <f>VLOOKUP($AH$8, 'Other Lists'!$B$13:$F$15, 5, FALSE)</f>
        <v>129</v>
      </c>
      <c r="AT83" s="18">
        <f>VLOOKUP($AH$8, 'Other Lists'!$B$13:$G$15, 6, FALSE)</f>
        <v>36</v>
      </c>
      <c r="AU83" s="18">
        <f t="shared" si="32"/>
        <v>165</v>
      </c>
      <c r="AV83" s="18">
        <f>VLOOKUP($AH$84, 'Other Lists'!$B$13:$H$15, 7, FALSE) *AO83</f>
        <v>0</v>
      </c>
      <c r="AW83" s="18">
        <f t="shared" si="33"/>
        <v>0</v>
      </c>
      <c r="AX83" s="18">
        <f t="shared" si="34"/>
        <v>0</v>
      </c>
      <c r="AY83" s="18">
        <f t="shared" si="35"/>
        <v>0</v>
      </c>
      <c r="AZ83">
        <v>0</v>
      </c>
      <c r="BA83">
        <v>0</v>
      </c>
      <c r="BB83">
        <v>0</v>
      </c>
      <c r="BC83">
        <v>0</v>
      </c>
      <c r="BD83">
        <f t="shared" si="36"/>
        <v>0</v>
      </c>
      <c r="BE83">
        <f>VLOOKUP($BE$6, 'Other Lists'!$B$27:$H$32, 7, FALSE) *BB83*8</f>
        <v>0</v>
      </c>
      <c r="BF83">
        <f>VLOOKUP($BF$6, 'Other Lists'!$B$27:$H$32, 7, FALSE) * BC83 * 8</f>
        <v>0</v>
      </c>
      <c r="BG83">
        <f>VLOOKUP($BG$6, 'Other Lists'!$B$27:$H$32, 7, FALSE) * BD83 * 8</f>
        <v>0</v>
      </c>
      <c r="BH83">
        <f t="shared" si="37"/>
        <v>1641.6</v>
      </c>
      <c r="BI83">
        <v>0</v>
      </c>
      <c r="BK83">
        <v>0</v>
      </c>
      <c r="BL83">
        <v>0</v>
      </c>
      <c r="BM83">
        <f>VLOOKUP($BM$6, 'Other Lists'!$B$27:$H$32, 7, FALSE) * BK83 * 8</f>
        <v>0</v>
      </c>
      <c r="BN83">
        <f>VLOOKUP($BN$6, 'Other Lists'!$B$27:$H$32, 7, FALSE) * BL83 * 8</f>
        <v>0</v>
      </c>
      <c r="BO83">
        <f t="shared" si="39"/>
        <v>1641.6</v>
      </c>
    </row>
    <row r="84" spans="2:67">
      <c r="B84">
        <v>236</v>
      </c>
      <c r="C84" s="15">
        <v>45341</v>
      </c>
      <c r="D84">
        <f t="shared" si="20"/>
        <v>2</v>
      </c>
      <c r="E84">
        <v>3</v>
      </c>
      <c r="F84">
        <v>119</v>
      </c>
      <c r="G84">
        <v>0</v>
      </c>
      <c r="H84">
        <v>0</v>
      </c>
      <c r="I84">
        <v>0</v>
      </c>
      <c r="J84">
        <v>0</v>
      </c>
      <c r="K84">
        <v>0</v>
      </c>
      <c r="L84">
        <v>0</v>
      </c>
      <c r="M84">
        <v>0</v>
      </c>
      <c r="N84">
        <f t="shared" si="21"/>
        <v>0</v>
      </c>
      <c r="O84" s="17">
        <v>0</v>
      </c>
      <c r="P84" s="19">
        <f>VLOOKUP(F84, 'Other Lists'!$B$13:$H$154, 7, FALSE)</f>
        <v>32</v>
      </c>
      <c r="Q84" s="18">
        <f>VLOOKUP(F84, 'Other Lists'!$B$13:$F$15, 5, FALSE)</f>
        <v>17.8</v>
      </c>
      <c r="R84" s="18">
        <f>VLOOKUP(F84, 'Other Lists'!$B$13:$G$15, 6, FALSE)</f>
        <v>11</v>
      </c>
      <c r="S84" s="18">
        <f t="shared" si="23"/>
        <v>28.8</v>
      </c>
      <c r="T84">
        <f>VLOOKUP(F84, 'Other Lists'!$B$13:$H$15, 7, FALSE) * M84</f>
        <v>0</v>
      </c>
      <c r="U84">
        <f t="shared" si="24"/>
        <v>0</v>
      </c>
      <c r="V84">
        <f t="shared" si="25"/>
        <v>0</v>
      </c>
      <c r="W84">
        <f t="shared" si="26"/>
        <v>0</v>
      </c>
      <c r="X84">
        <v>0</v>
      </c>
      <c r="Y84">
        <v>0</v>
      </c>
      <c r="Z84">
        <v>0</v>
      </c>
      <c r="AA84">
        <f t="shared" si="27"/>
        <v>-1</v>
      </c>
      <c r="AB84">
        <f>VLOOKUP($AB$6, 'Other Lists'!$B$27:$H$32, 7, FALSE) *Y84*8</f>
        <v>0</v>
      </c>
      <c r="AC84">
        <f>VLOOKUP($AC$6, 'Other Lists'!$B$27:$H$32, 7, FALSE) * Z84 * 8</f>
        <v>0</v>
      </c>
      <c r="AD84">
        <f>VLOOKUP($AD$6, 'Other Lists'!$B$27:$H$32, 7, FALSE) * AA84 * 8</f>
        <v>-259.2</v>
      </c>
      <c r="AE84">
        <f t="shared" si="28"/>
        <v>1360.8000000000002</v>
      </c>
      <c r="AF84" s="18">
        <v>0</v>
      </c>
      <c r="AH84">
        <v>105</v>
      </c>
      <c r="AI84">
        <v>0</v>
      </c>
      <c r="AJ84">
        <v>0</v>
      </c>
      <c r="AK84">
        <v>0</v>
      </c>
      <c r="AL84">
        <v>0</v>
      </c>
      <c r="AM84">
        <v>14</v>
      </c>
      <c r="AN84">
        <v>14</v>
      </c>
      <c r="AO84">
        <v>0</v>
      </c>
      <c r="AP84">
        <f t="shared" si="30"/>
        <v>0</v>
      </c>
      <c r="AQ84" s="17">
        <v>0</v>
      </c>
      <c r="AR84" s="18">
        <f>VLOOKUP($AH$8, 'Other Lists'!$B$13:$H$15, 7, FALSE)</f>
        <v>184</v>
      </c>
      <c r="AS84" s="18">
        <f>VLOOKUP($AH$8, 'Other Lists'!$B$13:$F$15, 5, FALSE)</f>
        <v>129</v>
      </c>
      <c r="AT84" s="18">
        <f>VLOOKUP($AH$8, 'Other Lists'!$B$13:$G$15, 6, FALSE)</f>
        <v>36</v>
      </c>
      <c r="AU84" s="18">
        <f t="shared" si="32"/>
        <v>165</v>
      </c>
      <c r="AV84" s="18">
        <f>VLOOKUP($AH$84, 'Other Lists'!$B$13:$H$15, 7, FALSE) *AO84</f>
        <v>0</v>
      </c>
      <c r="AW84" s="18">
        <f t="shared" si="33"/>
        <v>0</v>
      </c>
      <c r="AX84" s="18">
        <f t="shared" si="34"/>
        <v>0</v>
      </c>
      <c r="AY84" s="18">
        <f t="shared" si="35"/>
        <v>0</v>
      </c>
      <c r="AZ84">
        <v>0</v>
      </c>
      <c r="BA84">
        <v>0</v>
      </c>
      <c r="BB84">
        <v>0</v>
      </c>
      <c r="BC84">
        <v>0</v>
      </c>
      <c r="BD84">
        <f t="shared" si="36"/>
        <v>0</v>
      </c>
      <c r="BE84">
        <f>VLOOKUP($BE$6, 'Other Lists'!$B$27:$H$32, 7, FALSE) *BB84*8</f>
        <v>0</v>
      </c>
      <c r="BF84">
        <f>VLOOKUP($BF$6, 'Other Lists'!$B$27:$H$32, 7, FALSE) * BC84 * 8</f>
        <v>0</v>
      </c>
      <c r="BG84">
        <f>VLOOKUP($BG$6, 'Other Lists'!$B$27:$H$32, 7, FALSE) * BD84 * 8</f>
        <v>0</v>
      </c>
      <c r="BH84">
        <f t="shared" si="37"/>
        <v>1641.6</v>
      </c>
      <c r="BI84">
        <v>0</v>
      </c>
      <c r="BK84">
        <v>0</v>
      </c>
      <c r="BL84">
        <v>0</v>
      </c>
      <c r="BM84">
        <f>VLOOKUP($BM$6, 'Other Lists'!$B$27:$H$32, 7, FALSE) * BK84 * 8</f>
        <v>0</v>
      </c>
      <c r="BN84">
        <f>VLOOKUP($BN$6, 'Other Lists'!$B$27:$H$32, 7, FALSE) * BL84 * 8</f>
        <v>0</v>
      </c>
      <c r="BO84">
        <f t="shared" si="39"/>
        <v>1641.6</v>
      </c>
    </row>
    <row r="85" spans="2:67">
      <c r="B85">
        <v>237</v>
      </c>
      <c r="C85" s="15">
        <v>45342</v>
      </c>
      <c r="D85">
        <f t="shared" si="20"/>
        <v>3</v>
      </c>
      <c r="E85">
        <v>3</v>
      </c>
      <c r="F85">
        <v>119</v>
      </c>
      <c r="G85">
        <v>682</v>
      </c>
      <c r="H85">
        <v>682</v>
      </c>
      <c r="I85">
        <v>165</v>
      </c>
      <c r="J85">
        <v>1049.9999999999998</v>
      </c>
      <c r="K85">
        <v>0</v>
      </c>
      <c r="L85">
        <v>165</v>
      </c>
      <c r="M85">
        <v>813</v>
      </c>
      <c r="N85">
        <f t="shared" si="21"/>
        <v>0</v>
      </c>
      <c r="O85" s="17">
        <f t="shared" si="22"/>
        <v>1.1920821114369502</v>
      </c>
      <c r="P85" s="19">
        <f>VLOOKUP(F85, 'Other Lists'!$B$13:$H$154, 7, FALSE)</f>
        <v>32</v>
      </c>
      <c r="Q85" s="18">
        <f>VLOOKUP(F85, 'Other Lists'!$B$13:$F$15, 5, FALSE)</f>
        <v>17.8</v>
      </c>
      <c r="R85" s="18">
        <f>VLOOKUP(F85, 'Other Lists'!$B$13:$G$15, 6, FALSE)</f>
        <v>11</v>
      </c>
      <c r="S85" s="18">
        <f t="shared" si="23"/>
        <v>28.8</v>
      </c>
      <c r="T85">
        <f>VLOOKUP(F85, 'Other Lists'!$B$13:$H$15, 7, FALSE) * M85</f>
        <v>26016</v>
      </c>
      <c r="U85">
        <f t="shared" si="24"/>
        <v>19641.600000000002</v>
      </c>
      <c r="V85">
        <f t="shared" si="25"/>
        <v>6374.3999999999978</v>
      </c>
      <c r="W85">
        <f t="shared" si="26"/>
        <v>-4192</v>
      </c>
      <c r="X85">
        <v>6</v>
      </c>
      <c r="Y85">
        <v>0</v>
      </c>
      <c r="Z85">
        <v>3</v>
      </c>
      <c r="AA85">
        <f t="shared" si="27"/>
        <v>2</v>
      </c>
      <c r="AB85">
        <f>VLOOKUP($AB$6, 'Other Lists'!$B$27:$H$32, 7, FALSE) *Y85*8</f>
        <v>0</v>
      </c>
      <c r="AC85">
        <f>VLOOKUP($AC$6, 'Other Lists'!$B$27:$H$32, 7, FALSE) * Z85 * 8</f>
        <v>842.40000000000009</v>
      </c>
      <c r="AD85">
        <f>VLOOKUP($AD$6, 'Other Lists'!$B$27:$H$32, 7, FALSE) * AA85 * 8</f>
        <v>518.4</v>
      </c>
      <c r="AE85">
        <f t="shared" si="28"/>
        <v>1360.8000000000002</v>
      </c>
      <c r="AF85" s="18">
        <f t="shared" si="29"/>
        <v>1.9953079178885633</v>
      </c>
      <c r="AH85">
        <v>105</v>
      </c>
      <c r="AI85">
        <v>136</v>
      </c>
      <c r="AJ85">
        <v>136</v>
      </c>
      <c r="AK85">
        <v>42</v>
      </c>
      <c r="AL85">
        <v>162</v>
      </c>
      <c r="AM85">
        <v>12</v>
      </c>
      <c r="AN85">
        <v>54</v>
      </c>
      <c r="AO85">
        <v>172</v>
      </c>
      <c r="AP85">
        <f t="shared" si="30"/>
        <v>0</v>
      </c>
      <c r="AQ85" s="17">
        <f t="shared" si="31"/>
        <v>1.2647058823529411</v>
      </c>
      <c r="AR85" s="18">
        <f>VLOOKUP($AH$8, 'Other Lists'!$B$13:$H$15, 7, FALSE)</f>
        <v>184</v>
      </c>
      <c r="AS85" s="18">
        <f>VLOOKUP($AH$8, 'Other Lists'!$B$13:$F$15, 5, FALSE)</f>
        <v>129</v>
      </c>
      <c r="AT85" s="18">
        <f>VLOOKUP($AH$8, 'Other Lists'!$B$13:$G$15, 6, FALSE)</f>
        <v>36</v>
      </c>
      <c r="AU85" s="18">
        <f t="shared" si="32"/>
        <v>165</v>
      </c>
      <c r="AV85" s="18">
        <f>VLOOKUP($AH$84, 'Other Lists'!$B$13:$H$15, 7, FALSE) *AO85</f>
        <v>31648</v>
      </c>
      <c r="AW85" s="18">
        <f t="shared" si="33"/>
        <v>22440</v>
      </c>
      <c r="AX85" s="18">
        <f t="shared" si="34"/>
        <v>9208</v>
      </c>
      <c r="AY85" s="18">
        <f t="shared" si="35"/>
        <v>-6624</v>
      </c>
      <c r="AZ85">
        <v>6</v>
      </c>
      <c r="BA85">
        <v>6</v>
      </c>
      <c r="BB85">
        <v>0</v>
      </c>
      <c r="BC85">
        <v>4</v>
      </c>
      <c r="BD85">
        <f t="shared" si="36"/>
        <v>0</v>
      </c>
      <c r="BE85">
        <f>VLOOKUP($BE$6, 'Other Lists'!$B$27:$H$32, 7, FALSE) *BB85*8</f>
        <v>0</v>
      </c>
      <c r="BF85">
        <f>VLOOKUP($BF$6, 'Other Lists'!$B$27:$H$32, 7, FALSE) * BC85 * 8</f>
        <v>1123.2</v>
      </c>
      <c r="BG85">
        <f>VLOOKUP($BG$6, 'Other Lists'!$B$27:$H$32, 7, FALSE) * BD85 * 8</f>
        <v>0</v>
      </c>
      <c r="BH85">
        <f t="shared" si="37"/>
        <v>1641.6</v>
      </c>
      <c r="BI85">
        <f t="shared" si="38"/>
        <v>12.070588235294117</v>
      </c>
      <c r="BK85">
        <v>2</v>
      </c>
      <c r="BL85">
        <v>1</v>
      </c>
      <c r="BM85">
        <f>VLOOKUP($BM$6, 'Other Lists'!$B$27:$H$32, 7, FALSE) * BK85 * 8</f>
        <v>648</v>
      </c>
      <c r="BN85">
        <f>VLOOKUP($BN$6, 'Other Lists'!$B$27:$H$32, 7, FALSE) * BL85 * 8</f>
        <v>324</v>
      </c>
      <c r="BO85">
        <f t="shared" si="39"/>
        <v>2613.6</v>
      </c>
    </row>
    <row r="86" spans="2:67">
      <c r="B86">
        <v>238</v>
      </c>
      <c r="C86" s="15">
        <v>45343</v>
      </c>
      <c r="D86">
        <f t="shared" si="20"/>
        <v>4</v>
      </c>
      <c r="E86">
        <v>3</v>
      </c>
      <c r="F86">
        <v>201</v>
      </c>
      <c r="G86">
        <v>369</v>
      </c>
      <c r="H86">
        <v>369</v>
      </c>
      <c r="I86">
        <v>93</v>
      </c>
      <c r="J86">
        <v>420</v>
      </c>
      <c r="K86">
        <v>82</v>
      </c>
      <c r="L86">
        <v>175</v>
      </c>
      <c r="M86">
        <v>429</v>
      </c>
      <c r="N86">
        <f t="shared" si="21"/>
        <v>0</v>
      </c>
      <c r="O86" s="17">
        <f t="shared" si="22"/>
        <v>1.1626016260162602</v>
      </c>
      <c r="P86" s="19">
        <f>VLOOKUP(F86, 'Other Lists'!$B$13:$H$154, 7, FALSE)</f>
        <v>71</v>
      </c>
      <c r="Q86" s="18">
        <f>VLOOKUP(F86, 'Other Lists'!$B$13:$F$15, 5, FALSE)</f>
        <v>32.6</v>
      </c>
      <c r="R86" s="18">
        <f>VLOOKUP(F86, 'Other Lists'!$B$13:$G$15, 6, FALSE)</f>
        <v>16.5</v>
      </c>
      <c r="S86" s="18">
        <f t="shared" si="23"/>
        <v>49.1</v>
      </c>
      <c r="T86">
        <f>VLOOKUP(F86, 'Other Lists'!$B$13:$H$15, 7, FALSE) * M86</f>
        <v>30459</v>
      </c>
      <c r="U86">
        <f t="shared" si="24"/>
        <v>18117.900000000001</v>
      </c>
      <c r="V86">
        <f t="shared" si="25"/>
        <v>12341.099999999999</v>
      </c>
      <c r="W86">
        <f t="shared" si="26"/>
        <v>-4260</v>
      </c>
      <c r="X86">
        <v>6</v>
      </c>
      <c r="Y86">
        <v>0</v>
      </c>
      <c r="Z86">
        <v>4</v>
      </c>
      <c r="AA86">
        <f t="shared" si="27"/>
        <v>1</v>
      </c>
      <c r="AB86">
        <f>VLOOKUP($AB$6, 'Other Lists'!$B$27:$H$32, 7, FALSE) *Y86*8</f>
        <v>0</v>
      </c>
      <c r="AC86">
        <f>VLOOKUP($AC$6, 'Other Lists'!$B$27:$H$32, 7, FALSE) * Z86 * 8</f>
        <v>1123.2</v>
      </c>
      <c r="AD86">
        <f>VLOOKUP($AD$6, 'Other Lists'!$B$27:$H$32, 7, FALSE) * AA86 * 8</f>
        <v>259.2</v>
      </c>
      <c r="AE86">
        <f t="shared" si="28"/>
        <v>1360.8000000000002</v>
      </c>
      <c r="AF86" s="18">
        <f t="shared" si="29"/>
        <v>3.6878048780487811</v>
      </c>
      <c r="AH86">
        <v>105</v>
      </c>
      <c r="AI86">
        <v>137</v>
      </c>
      <c r="AJ86">
        <v>137</v>
      </c>
      <c r="AK86">
        <v>15</v>
      </c>
      <c r="AL86">
        <v>162</v>
      </c>
      <c r="AM86">
        <v>0</v>
      </c>
      <c r="AN86">
        <v>15</v>
      </c>
      <c r="AO86">
        <v>144</v>
      </c>
      <c r="AP86">
        <f t="shared" si="30"/>
        <v>0</v>
      </c>
      <c r="AQ86" s="17">
        <f t="shared" si="31"/>
        <v>1.051094890510949</v>
      </c>
      <c r="AR86" s="18">
        <f>VLOOKUP($AH$8, 'Other Lists'!$B$13:$H$15, 7, FALSE)</f>
        <v>184</v>
      </c>
      <c r="AS86" s="18">
        <f>VLOOKUP($AH$8, 'Other Lists'!$B$13:$F$15, 5, FALSE)</f>
        <v>129</v>
      </c>
      <c r="AT86" s="18">
        <f>VLOOKUP($AH$8, 'Other Lists'!$B$13:$G$15, 6, FALSE)</f>
        <v>36</v>
      </c>
      <c r="AU86" s="18">
        <f t="shared" si="32"/>
        <v>165</v>
      </c>
      <c r="AV86" s="18">
        <f>VLOOKUP($AH$84, 'Other Lists'!$B$13:$H$15, 7, FALSE) *AO86</f>
        <v>26496</v>
      </c>
      <c r="AW86" s="18">
        <f t="shared" si="33"/>
        <v>22605</v>
      </c>
      <c r="AX86" s="18">
        <f t="shared" si="34"/>
        <v>3891</v>
      </c>
      <c r="AY86" s="18">
        <f t="shared" si="35"/>
        <v>-1288</v>
      </c>
      <c r="AZ86">
        <v>6</v>
      </c>
      <c r="BA86">
        <v>6</v>
      </c>
      <c r="BB86">
        <v>0</v>
      </c>
      <c r="BC86">
        <v>4</v>
      </c>
      <c r="BD86">
        <f t="shared" si="36"/>
        <v>0</v>
      </c>
      <c r="BE86">
        <f>VLOOKUP($BE$6, 'Other Lists'!$B$27:$H$32, 7, FALSE) *BB86*8</f>
        <v>0</v>
      </c>
      <c r="BF86">
        <f>VLOOKUP($BF$6, 'Other Lists'!$B$27:$H$32, 7, FALSE) * BC86 * 8</f>
        <v>1123.2</v>
      </c>
      <c r="BG86">
        <f>VLOOKUP($BG$6, 'Other Lists'!$B$27:$H$32, 7, FALSE) * BD86 * 8</f>
        <v>0</v>
      </c>
      <c r="BH86">
        <f t="shared" si="37"/>
        <v>1641.6</v>
      </c>
      <c r="BI86">
        <f t="shared" si="38"/>
        <v>11.982481751824817</v>
      </c>
      <c r="BK86">
        <v>2</v>
      </c>
      <c r="BL86">
        <v>1</v>
      </c>
      <c r="BM86">
        <f>VLOOKUP($BM$6, 'Other Lists'!$B$27:$H$32, 7, FALSE) * BK86 * 8</f>
        <v>648</v>
      </c>
      <c r="BN86">
        <f>VLOOKUP($BN$6, 'Other Lists'!$B$27:$H$32, 7, FALSE) * BL86 * 8</f>
        <v>324</v>
      </c>
      <c r="BO86">
        <f t="shared" si="39"/>
        <v>2613.6</v>
      </c>
    </row>
    <row r="87" spans="2:67">
      <c r="B87">
        <v>239</v>
      </c>
      <c r="C87" s="15">
        <v>45344</v>
      </c>
      <c r="D87">
        <f t="shared" si="20"/>
        <v>5</v>
      </c>
      <c r="E87">
        <v>3</v>
      </c>
      <c r="F87">
        <v>119</v>
      </c>
      <c r="G87">
        <v>903</v>
      </c>
      <c r="H87">
        <v>903</v>
      </c>
      <c r="I87">
        <v>129</v>
      </c>
      <c r="J87">
        <v>1049.9999999999998</v>
      </c>
      <c r="K87">
        <v>0</v>
      </c>
      <c r="L87">
        <v>129</v>
      </c>
      <c r="M87">
        <v>1011</v>
      </c>
      <c r="N87">
        <f t="shared" si="21"/>
        <v>0</v>
      </c>
      <c r="O87" s="17">
        <f t="shared" si="22"/>
        <v>1.1196013289036544</v>
      </c>
      <c r="P87" s="19">
        <f>VLOOKUP(F87, 'Other Lists'!$B$13:$H$154, 7, FALSE)</f>
        <v>32</v>
      </c>
      <c r="Q87" s="18">
        <f>VLOOKUP(F87, 'Other Lists'!$B$13:$F$15, 5, FALSE)</f>
        <v>17.8</v>
      </c>
      <c r="R87" s="18">
        <f>VLOOKUP(F87, 'Other Lists'!$B$13:$G$15, 6, FALSE)</f>
        <v>11</v>
      </c>
      <c r="S87" s="18">
        <f t="shared" si="23"/>
        <v>28.8</v>
      </c>
      <c r="T87">
        <f>VLOOKUP(F87, 'Other Lists'!$B$13:$H$15, 7, FALSE) * M87</f>
        <v>32352</v>
      </c>
      <c r="U87">
        <f t="shared" si="24"/>
        <v>26006.400000000001</v>
      </c>
      <c r="V87">
        <f t="shared" si="25"/>
        <v>6345.5999999999985</v>
      </c>
      <c r="W87">
        <f t="shared" si="26"/>
        <v>-3456</v>
      </c>
      <c r="X87">
        <v>6</v>
      </c>
      <c r="Y87">
        <v>0</v>
      </c>
      <c r="Z87">
        <v>4</v>
      </c>
      <c r="AA87">
        <f t="shared" si="27"/>
        <v>1</v>
      </c>
      <c r="AB87">
        <f>VLOOKUP($AB$6, 'Other Lists'!$B$27:$H$32, 7, FALSE) *Y87*8</f>
        <v>0</v>
      </c>
      <c r="AC87">
        <f>VLOOKUP($AC$6, 'Other Lists'!$B$27:$H$32, 7, FALSE) * Z87 * 8</f>
        <v>1123.2</v>
      </c>
      <c r="AD87">
        <f>VLOOKUP($AD$6, 'Other Lists'!$B$27:$H$32, 7, FALSE) * AA87 * 8</f>
        <v>259.2</v>
      </c>
      <c r="AE87">
        <f t="shared" si="28"/>
        <v>1360.8000000000002</v>
      </c>
      <c r="AF87" s="18">
        <f t="shared" si="29"/>
        <v>1.5069767441860467</v>
      </c>
      <c r="AH87">
        <v>105</v>
      </c>
      <c r="AI87">
        <v>155</v>
      </c>
      <c r="AJ87">
        <v>155</v>
      </c>
      <c r="AK87">
        <v>10</v>
      </c>
      <c r="AL87">
        <v>162</v>
      </c>
      <c r="AM87">
        <v>0</v>
      </c>
      <c r="AN87">
        <v>10</v>
      </c>
      <c r="AO87">
        <v>161</v>
      </c>
      <c r="AP87">
        <f t="shared" si="30"/>
        <v>0</v>
      </c>
      <c r="AQ87" s="17">
        <f t="shared" si="31"/>
        <v>1.0387096774193549</v>
      </c>
      <c r="AR87" s="18">
        <f>VLOOKUP($AH$8, 'Other Lists'!$B$13:$H$15, 7, FALSE)</f>
        <v>184</v>
      </c>
      <c r="AS87" s="18">
        <f>VLOOKUP($AH$8, 'Other Lists'!$B$13:$F$15, 5, FALSE)</f>
        <v>129</v>
      </c>
      <c r="AT87" s="18">
        <f>VLOOKUP($AH$8, 'Other Lists'!$B$13:$G$15, 6, FALSE)</f>
        <v>36</v>
      </c>
      <c r="AU87" s="18">
        <f t="shared" si="32"/>
        <v>165</v>
      </c>
      <c r="AV87" s="18">
        <f>VLOOKUP($AH$84, 'Other Lists'!$B$13:$H$15, 7, FALSE) *AO87</f>
        <v>29624</v>
      </c>
      <c r="AW87" s="18">
        <f t="shared" si="33"/>
        <v>25575</v>
      </c>
      <c r="AX87" s="18">
        <f t="shared" si="34"/>
        <v>4049</v>
      </c>
      <c r="AY87" s="18">
        <f t="shared" si="35"/>
        <v>-1104</v>
      </c>
      <c r="AZ87">
        <v>6</v>
      </c>
      <c r="BA87">
        <v>6</v>
      </c>
      <c r="BB87">
        <v>0</v>
      </c>
      <c r="BC87">
        <v>3</v>
      </c>
      <c r="BD87">
        <f t="shared" si="36"/>
        <v>1</v>
      </c>
      <c r="BE87">
        <f>VLOOKUP($BE$6, 'Other Lists'!$B$27:$H$32, 7, FALSE) *BB87*8</f>
        <v>0</v>
      </c>
      <c r="BF87">
        <f>VLOOKUP($BF$6, 'Other Lists'!$B$27:$H$32, 7, FALSE) * BC87 * 8</f>
        <v>842.40000000000009</v>
      </c>
      <c r="BG87">
        <f>VLOOKUP($BG$6, 'Other Lists'!$B$27:$H$32, 7, FALSE) * BD87 * 8</f>
        <v>259.2</v>
      </c>
      <c r="BH87">
        <f t="shared" si="37"/>
        <v>1641.6</v>
      </c>
      <c r="BI87">
        <f t="shared" si="38"/>
        <v>10.590967741935483</v>
      </c>
      <c r="BK87">
        <v>2</v>
      </c>
      <c r="BL87">
        <v>1</v>
      </c>
      <c r="BM87">
        <f>VLOOKUP($BM$6, 'Other Lists'!$B$27:$H$32, 7, FALSE) * BK87 * 8</f>
        <v>648</v>
      </c>
      <c r="BN87">
        <f>VLOOKUP($BN$6, 'Other Lists'!$B$27:$H$32, 7, FALSE) * BL87 * 8</f>
        <v>324</v>
      </c>
      <c r="BO87">
        <f t="shared" si="39"/>
        <v>2613.6</v>
      </c>
    </row>
    <row r="88" spans="2:67">
      <c r="B88">
        <v>240</v>
      </c>
      <c r="C88" s="15">
        <v>45345</v>
      </c>
      <c r="D88">
        <f t="shared" si="20"/>
        <v>6</v>
      </c>
      <c r="E88">
        <v>3</v>
      </c>
      <c r="F88">
        <v>201</v>
      </c>
      <c r="G88">
        <v>378</v>
      </c>
      <c r="H88">
        <v>350</v>
      </c>
      <c r="I88">
        <v>53</v>
      </c>
      <c r="J88">
        <v>420</v>
      </c>
      <c r="K88">
        <v>0</v>
      </c>
      <c r="L88">
        <v>53</v>
      </c>
      <c r="M88">
        <v>386</v>
      </c>
      <c r="N88">
        <f t="shared" si="21"/>
        <v>28</v>
      </c>
      <c r="O88" s="17">
        <f t="shared" si="22"/>
        <v>1.1028571428571428</v>
      </c>
      <c r="P88" s="19">
        <f>VLOOKUP(F88, 'Other Lists'!$B$13:$H$154, 7, FALSE)</f>
        <v>71</v>
      </c>
      <c r="Q88" s="18">
        <f>VLOOKUP(F88, 'Other Lists'!$B$13:$F$15, 5, FALSE)</f>
        <v>32.6</v>
      </c>
      <c r="R88" s="18">
        <f>VLOOKUP(F88, 'Other Lists'!$B$13:$G$15, 6, FALSE)</f>
        <v>16.5</v>
      </c>
      <c r="S88" s="18">
        <f t="shared" si="23"/>
        <v>49.1</v>
      </c>
      <c r="T88">
        <f>VLOOKUP(F88, 'Other Lists'!$B$13:$H$15, 7, FALSE) * M88</f>
        <v>27406</v>
      </c>
      <c r="U88">
        <f t="shared" si="24"/>
        <v>17185</v>
      </c>
      <c r="V88">
        <f t="shared" si="25"/>
        <v>10221</v>
      </c>
      <c r="W88">
        <f t="shared" si="26"/>
        <v>-2556</v>
      </c>
      <c r="X88">
        <v>5</v>
      </c>
      <c r="Y88">
        <v>0</v>
      </c>
      <c r="Z88">
        <v>3</v>
      </c>
      <c r="AA88">
        <f t="shared" si="27"/>
        <v>1</v>
      </c>
      <c r="AB88">
        <f>VLOOKUP($AB$6, 'Other Lists'!$B$27:$H$32, 7, FALSE) *Y88*8</f>
        <v>0</v>
      </c>
      <c r="AC88">
        <f>VLOOKUP($AC$6, 'Other Lists'!$B$27:$H$32, 7, FALSE) * Z88 * 8</f>
        <v>842.40000000000009</v>
      </c>
      <c r="AD88">
        <f>VLOOKUP($AD$6, 'Other Lists'!$B$27:$H$32, 7, FALSE) * AA88 * 8</f>
        <v>259.2</v>
      </c>
      <c r="AE88">
        <f t="shared" si="28"/>
        <v>1360.8000000000002</v>
      </c>
      <c r="AF88" s="18">
        <f t="shared" si="29"/>
        <v>3.8880000000000003</v>
      </c>
      <c r="AH88">
        <v>105</v>
      </c>
      <c r="AI88">
        <v>178</v>
      </c>
      <c r="AJ88">
        <v>158</v>
      </c>
      <c r="AK88">
        <v>0</v>
      </c>
      <c r="AL88">
        <v>162</v>
      </c>
      <c r="AM88">
        <v>0</v>
      </c>
      <c r="AN88">
        <v>0</v>
      </c>
      <c r="AO88">
        <v>153</v>
      </c>
      <c r="AP88">
        <f t="shared" si="30"/>
        <v>20</v>
      </c>
      <c r="AQ88" s="17">
        <f t="shared" si="31"/>
        <v>0.96835443037974689</v>
      </c>
      <c r="AR88" s="18">
        <f>VLOOKUP($AH$8, 'Other Lists'!$B$13:$H$15, 7, FALSE)</f>
        <v>184</v>
      </c>
      <c r="AS88" s="18">
        <f>VLOOKUP($AH$8, 'Other Lists'!$B$13:$F$15, 5, FALSE)</f>
        <v>129</v>
      </c>
      <c r="AT88" s="18">
        <f>VLOOKUP($AH$8, 'Other Lists'!$B$13:$G$15, 6, FALSE)</f>
        <v>36</v>
      </c>
      <c r="AU88" s="18">
        <f t="shared" si="32"/>
        <v>165</v>
      </c>
      <c r="AV88" s="18">
        <f>VLOOKUP($AH$84, 'Other Lists'!$B$13:$H$15, 7, FALSE) *AO88</f>
        <v>28152</v>
      </c>
      <c r="AW88" s="18">
        <f t="shared" si="33"/>
        <v>26070</v>
      </c>
      <c r="AX88" s="18">
        <f t="shared" si="34"/>
        <v>2082</v>
      </c>
      <c r="AY88" s="18">
        <f t="shared" si="35"/>
        <v>920</v>
      </c>
      <c r="AZ88">
        <v>6</v>
      </c>
      <c r="BA88">
        <v>6</v>
      </c>
      <c r="BB88">
        <v>0</v>
      </c>
      <c r="BC88">
        <v>3</v>
      </c>
      <c r="BD88">
        <f t="shared" si="36"/>
        <v>1</v>
      </c>
      <c r="BE88">
        <f>VLOOKUP($BE$6, 'Other Lists'!$B$27:$H$32, 7, FALSE) *BB88*8</f>
        <v>0</v>
      </c>
      <c r="BF88">
        <f>VLOOKUP($BF$6, 'Other Lists'!$B$27:$H$32, 7, FALSE) * BC88 * 8</f>
        <v>842.40000000000009</v>
      </c>
      <c r="BG88">
        <f>VLOOKUP($BG$6, 'Other Lists'!$B$27:$H$32, 7, FALSE) * BD88 * 8</f>
        <v>259.2</v>
      </c>
      <c r="BH88">
        <f t="shared" si="37"/>
        <v>1641.6</v>
      </c>
      <c r="BI88">
        <f t="shared" si="38"/>
        <v>10.389873417721519</v>
      </c>
      <c r="BK88">
        <v>2</v>
      </c>
      <c r="BL88">
        <v>1</v>
      </c>
      <c r="BM88">
        <f>VLOOKUP($BM$6, 'Other Lists'!$B$27:$H$32, 7, FALSE) * BK88 * 8</f>
        <v>648</v>
      </c>
      <c r="BN88">
        <f>VLOOKUP($BN$6, 'Other Lists'!$B$27:$H$32, 7, FALSE) * BL88 * 8</f>
        <v>324</v>
      </c>
      <c r="BO88">
        <f t="shared" si="39"/>
        <v>2613.6</v>
      </c>
    </row>
    <row r="89" spans="2:67">
      <c r="B89">
        <v>241</v>
      </c>
      <c r="C89" s="15">
        <v>45346</v>
      </c>
      <c r="D89">
        <f t="shared" si="20"/>
        <v>7</v>
      </c>
      <c r="E89">
        <v>3</v>
      </c>
      <c r="F89">
        <v>119</v>
      </c>
      <c r="G89">
        <v>861</v>
      </c>
      <c r="H89">
        <v>861</v>
      </c>
      <c r="I89">
        <v>294</v>
      </c>
      <c r="J89">
        <v>1049.9999999999998</v>
      </c>
      <c r="K89">
        <v>35</v>
      </c>
      <c r="L89">
        <v>329</v>
      </c>
      <c r="M89">
        <v>1097</v>
      </c>
      <c r="N89">
        <f t="shared" si="21"/>
        <v>0</v>
      </c>
      <c r="O89" s="17">
        <f t="shared" si="22"/>
        <v>1.2740998838559814</v>
      </c>
      <c r="P89" s="19">
        <f>VLOOKUP(F89, 'Other Lists'!$B$13:$H$154, 7, FALSE)</f>
        <v>32</v>
      </c>
      <c r="Q89" s="18">
        <f>VLOOKUP(F89, 'Other Lists'!$B$13:$F$15, 5, FALSE)</f>
        <v>17.8</v>
      </c>
      <c r="R89" s="18">
        <f>VLOOKUP(F89, 'Other Lists'!$B$13:$G$15, 6, FALSE)</f>
        <v>11</v>
      </c>
      <c r="S89" s="18">
        <f t="shared" si="23"/>
        <v>28.8</v>
      </c>
      <c r="T89">
        <f>VLOOKUP(F89, 'Other Lists'!$B$13:$H$15, 7, FALSE) * M89</f>
        <v>35104</v>
      </c>
      <c r="U89">
        <f t="shared" si="24"/>
        <v>24796.799999999999</v>
      </c>
      <c r="V89">
        <f t="shared" si="25"/>
        <v>10307.200000000001</v>
      </c>
      <c r="W89">
        <f t="shared" si="26"/>
        <v>-7552</v>
      </c>
      <c r="X89">
        <v>5</v>
      </c>
      <c r="Y89">
        <v>0</v>
      </c>
      <c r="Z89">
        <v>4</v>
      </c>
      <c r="AA89">
        <f t="shared" si="27"/>
        <v>0</v>
      </c>
      <c r="AB89">
        <f>VLOOKUP($AB$6, 'Other Lists'!$B$27:$H$32, 7, FALSE) *Y89*8</f>
        <v>0</v>
      </c>
      <c r="AC89">
        <f>VLOOKUP($AC$6, 'Other Lists'!$B$27:$H$32, 7, FALSE) * Z89 * 8</f>
        <v>1123.2</v>
      </c>
      <c r="AD89">
        <f>VLOOKUP($AD$6, 'Other Lists'!$B$27:$H$32, 7, FALSE) * AA89 * 8</f>
        <v>0</v>
      </c>
      <c r="AE89">
        <f t="shared" si="28"/>
        <v>1360.8000000000002</v>
      </c>
      <c r="AF89" s="18">
        <f t="shared" si="29"/>
        <v>1.5804878048780491</v>
      </c>
      <c r="AH89">
        <v>105</v>
      </c>
      <c r="AI89">
        <v>136</v>
      </c>
      <c r="AJ89">
        <v>136</v>
      </c>
      <c r="AK89">
        <v>38</v>
      </c>
      <c r="AL89">
        <v>162</v>
      </c>
      <c r="AM89">
        <v>0</v>
      </c>
      <c r="AN89">
        <v>38</v>
      </c>
      <c r="AO89">
        <v>165</v>
      </c>
      <c r="AP89">
        <f t="shared" si="30"/>
        <v>0</v>
      </c>
      <c r="AQ89" s="17">
        <f t="shared" si="31"/>
        <v>1.213235294117647</v>
      </c>
      <c r="AR89" s="18">
        <f>VLOOKUP($AH$8, 'Other Lists'!$B$13:$H$15, 7, FALSE)</f>
        <v>184</v>
      </c>
      <c r="AS89" s="18">
        <f>VLOOKUP($AH$8, 'Other Lists'!$B$13:$F$15, 5, FALSE)</f>
        <v>129</v>
      </c>
      <c r="AT89" s="18">
        <f>VLOOKUP($AH$8, 'Other Lists'!$B$13:$G$15, 6, FALSE)</f>
        <v>36</v>
      </c>
      <c r="AU89" s="18">
        <f t="shared" si="32"/>
        <v>165</v>
      </c>
      <c r="AV89" s="18">
        <f>VLOOKUP($AH$84, 'Other Lists'!$B$13:$H$15, 7, FALSE) *AO89</f>
        <v>30360</v>
      </c>
      <c r="AW89" s="18">
        <f t="shared" si="33"/>
        <v>22440</v>
      </c>
      <c r="AX89" s="18">
        <f t="shared" si="34"/>
        <v>7920</v>
      </c>
      <c r="AY89" s="18">
        <f t="shared" si="35"/>
        <v>-5336</v>
      </c>
      <c r="AZ89">
        <v>6</v>
      </c>
      <c r="BA89">
        <v>6</v>
      </c>
      <c r="BB89">
        <v>0</v>
      </c>
      <c r="BC89">
        <v>3</v>
      </c>
      <c r="BD89">
        <f t="shared" si="36"/>
        <v>1</v>
      </c>
      <c r="BE89">
        <f>VLOOKUP($BE$6, 'Other Lists'!$B$27:$H$32, 7, FALSE) *BB89*8</f>
        <v>0</v>
      </c>
      <c r="BF89">
        <f>VLOOKUP($BF$6, 'Other Lists'!$B$27:$H$32, 7, FALSE) * BC89 * 8</f>
        <v>842.40000000000009</v>
      </c>
      <c r="BG89">
        <f>VLOOKUP($BG$6, 'Other Lists'!$B$27:$H$32, 7, FALSE) * BD89 * 8</f>
        <v>259.2</v>
      </c>
      <c r="BH89">
        <f t="shared" si="37"/>
        <v>1641.6</v>
      </c>
      <c r="BI89">
        <f t="shared" si="38"/>
        <v>12.070588235294117</v>
      </c>
      <c r="BK89">
        <v>2</v>
      </c>
      <c r="BL89">
        <v>1</v>
      </c>
      <c r="BM89">
        <f>VLOOKUP($BM$6, 'Other Lists'!$B$27:$H$32, 7, FALSE) * BK89 * 8</f>
        <v>648</v>
      </c>
      <c r="BN89">
        <f>VLOOKUP($BN$6, 'Other Lists'!$B$27:$H$32, 7, FALSE) * BL89 * 8</f>
        <v>324</v>
      </c>
      <c r="BO89">
        <f t="shared" si="39"/>
        <v>2613.6</v>
      </c>
    </row>
    <row r="90" spans="2:67">
      <c r="B90">
        <v>242</v>
      </c>
      <c r="C90" s="15">
        <v>45347</v>
      </c>
      <c r="D90">
        <f t="shared" si="20"/>
        <v>1</v>
      </c>
      <c r="E90">
        <v>3</v>
      </c>
      <c r="F90">
        <v>201</v>
      </c>
      <c r="G90">
        <v>0</v>
      </c>
      <c r="H90">
        <v>0</v>
      </c>
      <c r="I90">
        <v>0</v>
      </c>
      <c r="J90">
        <v>0</v>
      </c>
      <c r="K90">
        <v>0</v>
      </c>
      <c r="L90">
        <v>0</v>
      </c>
      <c r="M90">
        <v>0</v>
      </c>
      <c r="N90">
        <f t="shared" si="21"/>
        <v>0</v>
      </c>
      <c r="O90" s="17">
        <v>0</v>
      </c>
      <c r="P90" s="19">
        <f>VLOOKUP(F90, 'Other Lists'!$B$13:$H$154, 7, FALSE)</f>
        <v>71</v>
      </c>
      <c r="Q90" s="18">
        <f>VLOOKUP(F90, 'Other Lists'!$B$13:$F$15, 5, FALSE)</f>
        <v>32.6</v>
      </c>
      <c r="R90" s="18">
        <f>VLOOKUP(F90, 'Other Lists'!$B$13:$G$15, 6, FALSE)</f>
        <v>16.5</v>
      </c>
      <c r="S90" s="18">
        <f t="shared" si="23"/>
        <v>49.1</v>
      </c>
      <c r="T90">
        <f>VLOOKUP(F90, 'Other Lists'!$B$13:$H$15, 7, FALSE) * M90</f>
        <v>0</v>
      </c>
      <c r="U90">
        <f t="shared" si="24"/>
        <v>0</v>
      </c>
      <c r="V90">
        <f t="shared" si="25"/>
        <v>0</v>
      </c>
      <c r="W90">
        <f t="shared" si="26"/>
        <v>0</v>
      </c>
      <c r="X90">
        <v>0</v>
      </c>
      <c r="Y90">
        <v>0</v>
      </c>
      <c r="Z90">
        <v>0</v>
      </c>
      <c r="AA90">
        <f t="shared" si="27"/>
        <v>-1</v>
      </c>
      <c r="AB90">
        <f>VLOOKUP($AB$6, 'Other Lists'!$B$27:$H$32, 7, FALSE) *Y90*8</f>
        <v>0</v>
      </c>
      <c r="AC90">
        <f>VLOOKUP($AC$6, 'Other Lists'!$B$27:$H$32, 7, FALSE) * Z90 * 8</f>
        <v>0</v>
      </c>
      <c r="AD90">
        <f>VLOOKUP($AD$6, 'Other Lists'!$B$27:$H$32, 7, FALSE) * AA90 * 8</f>
        <v>-259.2</v>
      </c>
      <c r="AE90">
        <f t="shared" si="28"/>
        <v>1360.8000000000002</v>
      </c>
      <c r="AF90" s="18">
        <v>0</v>
      </c>
      <c r="AH90">
        <v>105</v>
      </c>
      <c r="AI90">
        <v>0</v>
      </c>
      <c r="AJ90">
        <v>0</v>
      </c>
      <c r="AK90">
        <v>0</v>
      </c>
      <c r="AL90">
        <v>0</v>
      </c>
      <c r="AM90">
        <v>0</v>
      </c>
      <c r="AN90">
        <v>0</v>
      </c>
      <c r="AO90">
        <v>0</v>
      </c>
      <c r="AP90">
        <f t="shared" si="30"/>
        <v>0</v>
      </c>
      <c r="AQ90" s="17">
        <v>0</v>
      </c>
      <c r="AR90" s="18">
        <f>VLOOKUP($AH$8, 'Other Lists'!$B$13:$H$15, 7, FALSE)</f>
        <v>184</v>
      </c>
      <c r="AS90" s="18">
        <f>VLOOKUP($AH$8, 'Other Lists'!$B$13:$F$15, 5, FALSE)</f>
        <v>129</v>
      </c>
      <c r="AT90" s="18">
        <f>VLOOKUP($AH$8, 'Other Lists'!$B$13:$G$15, 6, FALSE)</f>
        <v>36</v>
      </c>
      <c r="AU90" s="18">
        <f t="shared" si="32"/>
        <v>165</v>
      </c>
      <c r="AV90" s="18">
        <f>VLOOKUP($AH$84, 'Other Lists'!$B$13:$H$15, 7, FALSE) *AO90</f>
        <v>0</v>
      </c>
      <c r="AW90" s="18">
        <f t="shared" si="33"/>
        <v>0</v>
      </c>
      <c r="AX90" s="18">
        <f t="shared" si="34"/>
        <v>0</v>
      </c>
      <c r="AY90" s="18">
        <f t="shared" si="35"/>
        <v>0</v>
      </c>
      <c r="AZ90">
        <v>0</v>
      </c>
      <c r="BA90">
        <v>0</v>
      </c>
      <c r="BB90">
        <v>0</v>
      </c>
      <c r="BC90">
        <v>0</v>
      </c>
      <c r="BD90">
        <f t="shared" si="36"/>
        <v>0</v>
      </c>
      <c r="BE90">
        <f>VLOOKUP($BE$6, 'Other Lists'!$B$27:$H$32, 7, FALSE) *BB90*8</f>
        <v>0</v>
      </c>
      <c r="BF90">
        <f>VLOOKUP($BF$6, 'Other Lists'!$B$27:$H$32, 7, FALSE) * BC90 * 8</f>
        <v>0</v>
      </c>
      <c r="BG90">
        <f>VLOOKUP($BG$6, 'Other Lists'!$B$27:$H$32, 7, FALSE) * BD90 * 8</f>
        <v>0</v>
      </c>
      <c r="BH90">
        <f t="shared" si="37"/>
        <v>1641.6</v>
      </c>
      <c r="BI90">
        <v>0</v>
      </c>
      <c r="BK90">
        <v>0</v>
      </c>
      <c r="BL90">
        <v>0</v>
      </c>
      <c r="BM90">
        <f>VLOOKUP($BM$6, 'Other Lists'!$B$27:$H$32, 7, FALSE) * BK90 * 8</f>
        <v>0</v>
      </c>
      <c r="BN90">
        <f>VLOOKUP($BN$6, 'Other Lists'!$B$27:$H$32, 7, FALSE) * BL90 * 8</f>
        <v>0</v>
      </c>
      <c r="BO90">
        <f t="shared" si="39"/>
        <v>1641.6</v>
      </c>
    </row>
    <row r="91" spans="2:67">
      <c r="B91">
        <v>243</v>
      </c>
      <c r="C91" s="15">
        <v>45348</v>
      </c>
      <c r="D91">
        <f t="shared" si="20"/>
        <v>2</v>
      </c>
      <c r="E91">
        <v>3</v>
      </c>
      <c r="F91">
        <v>201</v>
      </c>
      <c r="G91">
        <v>0</v>
      </c>
      <c r="H91">
        <v>0</v>
      </c>
      <c r="I91">
        <v>0</v>
      </c>
      <c r="J91">
        <v>0</v>
      </c>
      <c r="K91">
        <v>0</v>
      </c>
      <c r="L91">
        <v>0</v>
      </c>
      <c r="M91">
        <v>0</v>
      </c>
      <c r="N91">
        <f t="shared" si="21"/>
        <v>0</v>
      </c>
      <c r="O91" s="17">
        <v>0</v>
      </c>
      <c r="P91" s="19">
        <f>VLOOKUP(F91, 'Other Lists'!$B$13:$H$154, 7, FALSE)</f>
        <v>71</v>
      </c>
      <c r="Q91" s="18">
        <f>VLOOKUP(F91, 'Other Lists'!$B$13:$F$15, 5, FALSE)</f>
        <v>32.6</v>
      </c>
      <c r="R91" s="18">
        <f>VLOOKUP(F91, 'Other Lists'!$B$13:$G$15, 6, FALSE)</f>
        <v>16.5</v>
      </c>
      <c r="S91" s="18">
        <f t="shared" si="23"/>
        <v>49.1</v>
      </c>
      <c r="T91">
        <f>VLOOKUP(F91, 'Other Lists'!$B$13:$H$15, 7, FALSE) * M91</f>
        <v>0</v>
      </c>
      <c r="U91">
        <f t="shared" si="24"/>
        <v>0</v>
      </c>
      <c r="V91">
        <f t="shared" si="25"/>
        <v>0</v>
      </c>
      <c r="W91">
        <f t="shared" si="26"/>
        <v>0</v>
      </c>
      <c r="X91">
        <v>0</v>
      </c>
      <c r="Y91">
        <v>0</v>
      </c>
      <c r="Z91">
        <v>0</v>
      </c>
      <c r="AA91">
        <f t="shared" si="27"/>
        <v>-1</v>
      </c>
      <c r="AB91">
        <f>VLOOKUP($AB$6, 'Other Lists'!$B$27:$H$32, 7, FALSE) *Y91*8</f>
        <v>0</v>
      </c>
      <c r="AC91">
        <f>VLOOKUP($AC$6, 'Other Lists'!$B$27:$H$32, 7, FALSE) * Z91 * 8</f>
        <v>0</v>
      </c>
      <c r="AD91">
        <f>VLOOKUP($AD$6, 'Other Lists'!$B$27:$H$32, 7, FALSE) * AA91 * 8</f>
        <v>-259.2</v>
      </c>
      <c r="AE91">
        <f t="shared" si="28"/>
        <v>1360.8000000000002</v>
      </c>
      <c r="AF91" s="18">
        <v>0</v>
      </c>
      <c r="AH91">
        <v>105</v>
      </c>
      <c r="AI91">
        <v>0</v>
      </c>
      <c r="AJ91">
        <v>0</v>
      </c>
      <c r="AK91">
        <v>0</v>
      </c>
      <c r="AL91">
        <v>0</v>
      </c>
      <c r="AM91">
        <v>0</v>
      </c>
      <c r="AN91">
        <v>0</v>
      </c>
      <c r="AO91">
        <v>0</v>
      </c>
      <c r="AP91">
        <f t="shared" si="30"/>
        <v>0</v>
      </c>
      <c r="AQ91" s="17">
        <v>0</v>
      </c>
      <c r="AR91" s="18">
        <f>VLOOKUP($AH$8, 'Other Lists'!$B$13:$H$15, 7, FALSE)</f>
        <v>184</v>
      </c>
      <c r="AS91" s="18">
        <f>VLOOKUP($AH$8, 'Other Lists'!$B$13:$F$15, 5, FALSE)</f>
        <v>129</v>
      </c>
      <c r="AT91" s="18">
        <f>VLOOKUP($AH$8, 'Other Lists'!$B$13:$G$15, 6, FALSE)</f>
        <v>36</v>
      </c>
      <c r="AU91" s="18">
        <f t="shared" si="32"/>
        <v>165</v>
      </c>
      <c r="AV91" s="18">
        <f>VLOOKUP($AH$84, 'Other Lists'!$B$13:$H$15, 7, FALSE) *AO91</f>
        <v>0</v>
      </c>
      <c r="AW91" s="18">
        <f t="shared" si="33"/>
        <v>0</v>
      </c>
      <c r="AX91" s="18">
        <f t="shared" si="34"/>
        <v>0</v>
      </c>
      <c r="AY91" s="18">
        <f t="shared" si="35"/>
        <v>0</v>
      </c>
      <c r="AZ91">
        <v>0</v>
      </c>
      <c r="BA91">
        <v>0</v>
      </c>
      <c r="BB91">
        <v>0</v>
      </c>
      <c r="BC91">
        <v>0</v>
      </c>
      <c r="BD91">
        <f t="shared" si="36"/>
        <v>0</v>
      </c>
      <c r="BE91">
        <f>VLOOKUP($BE$6, 'Other Lists'!$B$27:$H$32, 7, FALSE) *BB91*8</f>
        <v>0</v>
      </c>
      <c r="BF91">
        <f>VLOOKUP($BF$6, 'Other Lists'!$B$27:$H$32, 7, FALSE) * BC91 * 8</f>
        <v>0</v>
      </c>
      <c r="BG91">
        <f>VLOOKUP($BG$6, 'Other Lists'!$B$27:$H$32, 7, FALSE) * BD91 * 8</f>
        <v>0</v>
      </c>
      <c r="BH91">
        <f t="shared" si="37"/>
        <v>1641.6</v>
      </c>
      <c r="BI91">
        <v>0</v>
      </c>
      <c r="BK91">
        <v>0</v>
      </c>
      <c r="BL91">
        <v>0</v>
      </c>
      <c r="BM91">
        <f>VLOOKUP($BM$6, 'Other Lists'!$B$27:$H$32, 7, FALSE) * BK91 * 8</f>
        <v>0</v>
      </c>
      <c r="BN91">
        <f>VLOOKUP($BN$6, 'Other Lists'!$B$27:$H$32, 7, FALSE) * BL91 * 8</f>
        <v>0</v>
      </c>
      <c r="BO91">
        <f t="shared" si="39"/>
        <v>1641.6</v>
      </c>
    </row>
    <row r="92" spans="2:67">
      <c r="B92">
        <v>244</v>
      </c>
      <c r="C92" s="15">
        <v>45349</v>
      </c>
      <c r="D92">
        <f t="shared" si="20"/>
        <v>3</v>
      </c>
      <c r="E92">
        <v>3</v>
      </c>
      <c r="F92">
        <v>119</v>
      </c>
      <c r="G92">
        <v>840</v>
      </c>
      <c r="H92">
        <v>840</v>
      </c>
      <c r="I92">
        <v>0</v>
      </c>
      <c r="J92">
        <v>1049.9999999999998</v>
      </c>
      <c r="K92">
        <v>0</v>
      </c>
      <c r="L92">
        <v>0</v>
      </c>
      <c r="M92">
        <v>823</v>
      </c>
      <c r="N92">
        <f t="shared" si="21"/>
        <v>0</v>
      </c>
      <c r="O92" s="17">
        <f t="shared" si="22"/>
        <v>0.97976190476190472</v>
      </c>
      <c r="P92" s="19">
        <f>VLOOKUP(F92, 'Other Lists'!$B$13:$H$154, 7, FALSE)</f>
        <v>32</v>
      </c>
      <c r="Q92" s="18">
        <f>VLOOKUP(F92, 'Other Lists'!$B$13:$F$15, 5, FALSE)</f>
        <v>17.8</v>
      </c>
      <c r="R92" s="18">
        <f>VLOOKUP(F92, 'Other Lists'!$B$13:$G$15, 6, FALSE)</f>
        <v>11</v>
      </c>
      <c r="S92" s="18">
        <f t="shared" si="23"/>
        <v>28.8</v>
      </c>
      <c r="T92">
        <f>VLOOKUP(F92, 'Other Lists'!$B$13:$H$15, 7, FALSE) * M92</f>
        <v>26336</v>
      </c>
      <c r="U92">
        <f t="shared" si="24"/>
        <v>24192</v>
      </c>
      <c r="V92">
        <f t="shared" si="25"/>
        <v>2144</v>
      </c>
      <c r="W92">
        <f t="shared" si="26"/>
        <v>544</v>
      </c>
      <c r="X92">
        <v>5</v>
      </c>
      <c r="Y92">
        <v>0</v>
      </c>
      <c r="Z92">
        <v>4</v>
      </c>
      <c r="AA92">
        <f t="shared" si="27"/>
        <v>0</v>
      </c>
      <c r="AB92">
        <f>VLOOKUP($AB$6, 'Other Lists'!$B$27:$H$32, 7, FALSE) *Y92*8</f>
        <v>0</v>
      </c>
      <c r="AC92">
        <f>VLOOKUP($AC$6, 'Other Lists'!$B$27:$H$32, 7, FALSE) * Z92 * 8</f>
        <v>1123.2</v>
      </c>
      <c r="AD92">
        <f>VLOOKUP($AD$6, 'Other Lists'!$B$27:$H$32, 7, FALSE) * AA92 * 8</f>
        <v>0</v>
      </c>
      <c r="AE92">
        <f t="shared" si="28"/>
        <v>1360.8000000000002</v>
      </c>
      <c r="AF92" s="18">
        <f t="shared" si="29"/>
        <v>1.62</v>
      </c>
      <c r="AH92">
        <v>105</v>
      </c>
      <c r="AI92">
        <v>139</v>
      </c>
      <c r="AJ92">
        <v>139</v>
      </c>
      <c r="AK92">
        <v>2</v>
      </c>
      <c r="AL92">
        <v>162</v>
      </c>
      <c r="AM92">
        <v>0</v>
      </c>
      <c r="AN92">
        <v>2</v>
      </c>
      <c r="AO92">
        <v>132</v>
      </c>
      <c r="AP92">
        <f t="shared" si="30"/>
        <v>0</v>
      </c>
      <c r="AQ92" s="17">
        <f t="shared" si="31"/>
        <v>0.94964028776978415</v>
      </c>
      <c r="AR92" s="18">
        <f>VLOOKUP($AH$8, 'Other Lists'!$B$13:$H$15, 7, FALSE)</f>
        <v>184</v>
      </c>
      <c r="AS92" s="18">
        <f>VLOOKUP($AH$8, 'Other Lists'!$B$13:$F$15, 5, FALSE)</f>
        <v>129</v>
      </c>
      <c r="AT92" s="18">
        <f>VLOOKUP($AH$8, 'Other Lists'!$B$13:$G$15, 6, FALSE)</f>
        <v>36</v>
      </c>
      <c r="AU92" s="18">
        <f t="shared" si="32"/>
        <v>165</v>
      </c>
      <c r="AV92" s="18">
        <f>VLOOKUP($AH$84, 'Other Lists'!$B$13:$H$15, 7, FALSE) *AO92</f>
        <v>24288</v>
      </c>
      <c r="AW92" s="18">
        <f t="shared" si="33"/>
        <v>22935</v>
      </c>
      <c r="AX92" s="18">
        <f t="shared" si="34"/>
        <v>1353</v>
      </c>
      <c r="AY92" s="18">
        <f t="shared" si="35"/>
        <v>1288</v>
      </c>
      <c r="AZ92">
        <v>6</v>
      </c>
      <c r="BA92">
        <v>6</v>
      </c>
      <c r="BB92">
        <v>0</v>
      </c>
      <c r="BC92">
        <v>3</v>
      </c>
      <c r="BD92">
        <f t="shared" si="36"/>
        <v>1</v>
      </c>
      <c r="BE92">
        <f>VLOOKUP($BE$6, 'Other Lists'!$B$27:$H$32, 7, FALSE) *BB92*8</f>
        <v>0</v>
      </c>
      <c r="BF92">
        <f>VLOOKUP($BF$6, 'Other Lists'!$B$27:$H$32, 7, FALSE) * BC92 * 8</f>
        <v>842.40000000000009</v>
      </c>
      <c r="BG92">
        <f>VLOOKUP($BG$6, 'Other Lists'!$B$27:$H$32, 7, FALSE) * BD92 * 8</f>
        <v>259.2</v>
      </c>
      <c r="BH92">
        <f t="shared" si="37"/>
        <v>1641.6</v>
      </c>
      <c r="BI92">
        <f t="shared" si="38"/>
        <v>11.810071942446042</v>
      </c>
      <c r="BK92">
        <v>2</v>
      </c>
      <c r="BL92">
        <v>1</v>
      </c>
      <c r="BM92">
        <f>VLOOKUP($BM$6, 'Other Lists'!$B$27:$H$32, 7, FALSE) * BK92 * 8</f>
        <v>648</v>
      </c>
      <c r="BN92">
        <f>VLOOKUP($BN$6, 'Other Lists'!$B$27:$H$32, 7, FALSE) * BL92 * 8</f>
        <v>324</v>
      </c>
      <c r="BO92">
        <f t="shared" si="39"/>
        <v>2613.6</v>
      </c>
    </row>
    <row r="93" spans="2:67">
      <c r="B93">
        <v>245</v>
      </c>
      <c r="C93" s="15">
        <v>45350</v>
      </c>
      <c r="D93">
        <f t="shared" si="20"/>
        <v>4</v>
      </c>
      <c r="E93">
        <v>3</v>
      </c>
      <c r="F93">
        <v>119</v>
      </c>
      <c r="G93">
        <v>598</v>
      </c>
      <c r="H93">
        <v>598</v>
      </c>
      <c r="I93">
        <v>42</v>
      </c>
      <c r="J93">
        <v>1049.9999999999998</v>
      </c>
      <c r="K93">
        <v>0</v>
      </c>
      <c r="L93">
        <v>42</v>
      </c>
      <c r="M93">
        <v>601</v>
      </c>
      <c r="N93">
        <f t="shared" si="21"/>
        <v>0</v>
      </c>
      <c r="O93" s="17">
        <f t="shared" si="22"/>
        <v>1.0050167224080269</v>
      </c>
      <c r="P93" s="19">
        <f>VLOOKUP(F93, 'Other Lists'!$B$13:$H$154, 7, FALSE)</f>
        <v>32</v>
      </c>
      <c r="Q93" s="18">
        <f>VLOOKUP(F93, 'Other Lists'!$B$13:$F$15, 5, FALSE)</f>
        <v>17.8</v>
      </c>
      <c r="R93" s="18">
        <f>VLOOKUP(F93, 'Other Lists'!$B$13:$G$15, 6, FALSE)</f>
        <v>11</v>
      </c>
      <c r="S93" s="18">
        <f t="shared" si="23"/>
        <v>28.8</v>
      </c>
      <c r="T93">
        <f>VLOOKUP(F93, 'Other Lists'!$B$13:$H$15, 7, FALSE) * M93</f>
        <v>19232</v>
      </c>
      <c r="U93">
        <f t="shared" si="24"/>
        <v>17222.400000000001</v>
      </c>
      <c r="V93">
        <f t="shared" si="25"/>
        <v>2009.5999999999985</v>
      </c>
      <c r="W93">
        <f t="shared" si="26"/>
        <v>-96</v>
      </c>
      <c r="X93">
        <v>6</v>
      </c>
      <c r="Y93">
        <v>0</v>
      </c>
      <c r="Z93">
        <v>3</v>
      </c>
      <c r="AA93">
        <f t="shared" si="27"/>
        <v>2</v>
      </c>
      <c r="AB93">
        <f>VLOOKUP($AB$6, 'Other Lists'!$B$27:$H$32, 7, FALSE) *Y93*8</f>
        <v>0</v>
      </c>
      <c r="AC93">
        <f>VLOOKUP($AC$6, 'Other Lists'!$B$27:$H$32, 7, FALSE) * Z93 * 8</f>
        <v>842.40000000000009</v>
      </c>
      <c r="AD93">
        <f>VLOOKUP($AD$6, 'Other Lists'!$B$27:$H$32, 7, FALSE) * AA93 * 8</f>
        <v>518.4</v>
      </c>
      <c r="AE93">
        <f t="shared" si="28"/>
        <v>1360.8000000000002</v>
      </c>
      <c r="AF93" s="18">
        <f t="shared" si="29"/>
        <v>2.2755852842809365</v>
      </c>
      <c r="AH93">
        <v>105</v>
      </c>
      <c r="AI93">
        <v>179</v>
      </c>
      <c r="AJ93">
        <v>155</v>
      </c>
      <c r="AK93">
        <v>0</v>
      </c>
      <c r="AL93">
        <v>162</v>
      </c>
      <c r="AM93">
        <v>0</v>
      </c>
      <c r="AN93">
        <v>0</v>
      </c>
      <c r="AO93">
        <v>145</v>
      </c>
      <c r="AP93">
        <f t="shared" si="30"/>
        <v>24</v>
      </c>
      <c r="AQ93" s="17">
        <f t="shared" si="31"/>
        <v>0.93548387096774188</v>
      </c>
      <c r="AR93" s="18">
        <f>VLOOKUP($AH$8, 'Other Lists'!$B$13:$H$15, 7, FALSE)</f>
        <v>184</v>
      </c>
      <c r="AS93" s="18">
        <f>VLOOKUP($AH$8, 'Other Lists'!$B$13:$F$15, 5, FALSE)</f>
        <v>129</v>
      </c>
      <c r="AT93" s="18">
        <f>VLOOKUP($AH$8, 'Other Lists'!$B$13:$G$15, 6, FALSE)</f>
        <v>36</v>
      </c>
      <c r="AU93" s="18">
        <f t="shared" si="32"/>
        <v>165</v>
      </c>
      <c r="AV93" s="18">
        <f>VLOOKUP($AH$84, 'Other Lists'!$B$13:$H$15, 7, FALSE) *AO93</f>
        <v>26680</v>
      </c>
      <c r="AW93" s="18">
        <f t="shared" si="33"/>
        <v>25575</v>
      </c>
      <c r="AX93" s="18">
        <f t="shared" si="34"/>
        <v>1105</v>
      </c>
      <c r="AY93" s="18">
        <f t="shared" si="35"/>
        <v>1840</v>
      </c>
      <c r="AZ93">
        <v>6</v>
      </c>
      <c r="BA93">
        <v>6</v>
      </c>
      <c r="BB93">
        <v>0</v>
      </c>
      <c r="BC93">
        <v>3</v>
      </c>
      <c r="BD93">
        <f t="shared" si="36"/>
        <v>1</v>
      </c>
      <c r="BE93">
        <f>VLOOKUP($BE$6, 'Other Lists'!$B$27:$H$32, 7, FALSE) *BB93*8</f>
        <v>0</v>
      </c>
      <c r="BF93">
        <f>VLOOKUP($BF$6, 'Other Lists'!$B$27:$H$32, 7, FALSE) * BC93 * 8</f>
        <v>842.40000000000009</v>
      </c>
      <c r="BG93">
        <f>VLOOKUP($BG$6, 'Other Lists'!$B$27:$H$32, 7, FALSE) * BD93 * 8</f>
        <v>259.2</v>
      </c>
      <c r="BH93">
        <f t="shared" si="37"/>
        <v>1641.6</v>
      </c>
      <c r="BI93">
        <f t="shared" si="38"/>
        <v>10.590967741935483</v>
      </c>
      <c r="BK93">
        <v>2</v>
      </c>
      <c r="BL93">
        <v>1</v>
      </c>
      <c r="BM93">
        <f>VLOOKUP($BM$6, 'Other Lists'!$B$27:$H$32, 7, FALSE) * BK93 * 8</f>
        <v>648</v>
      </c>
      <c r="BN93">
        <f>VLOOKUP($BN$6, 'Other Lists'!$B$27:$H$32, 7, FALSE) * BL93 * 8</f>
        <v>324</v>
      </c>
      <c r="BO93">
        <f t="shared" si="39"/>
        <v>2613.6</v>
      </c>
    </row>
    <row r="94" spans="2:67">
      <c r="B94">
        <v>246</v>
      </c>
      <c r="C94" s="15">
        <v>45351</v>
      </c>
      <c r="D94">
        <f t="shared" si="20"/>
        <v>5</v>
      </c>
      <c r="E94">
        <v>3</v>
      </c>
      <c r="F94">
        <v>119</v>
      </c>
      <c r="G94">
        <v>672</v>
      </c>
      <c r="H94">
        <v>672</v>
      </c>
      <c r="I94">
        <v>98</v>
      </c>
      <c r="J94">
        <v>1049.9999999999998</v>
      </c>
      <c r="K94">
        <v>0</v>
      </c>
      <c r="L94">
        <v>98</v>
      </c>
      <c r="M94">
        <v>731</v>
      </c>
      <c r="N94">
        <f t="shared" si="21"/>
        <v>0</v>
      </c>
      <c r="O94" s="17">
        <f t="shared" si="22"/>
        <v>1.0877976190476191</v>
      </c>
      <c r="P94" s="19">
        <f>VLOOKUP(F94, 'Other Lists'!$B$13:$H$154, 7, FALSE)</f>
        <v>32</v>
      </c>
      <c r="Q94" s="18">
        <f>VLOOKUP(F94, 'Other Lists'!$B$13:$F$15, 5, FALSE)</f>
        <v>17.8</v>
      </c>
      <c r="R94" s="18">
        <f>VLOOKUP(F94, 'Other Lists'!$B$13:$G$15, 6, FALSE)</f>
        <v>11</v>
      </c>
      <c r="S94" s="18">
        <f t="shared" si="23"/>
        <v>28.8</v>
      </c>
      <c r="T94">
        <f>VLOOKUP(F94, 'Other Lists'!$B$13:$H$15, 7, FALSE) * M94</f>
        <v>23392</v>
      </c>
      <c r="U94">
        <f t="shared" si="24"/>
        <v>19353.600000000002</v>
      </c>
      <c r="V94">
        <f t="shared" si="25"/>
        <v>4038.3999999999978</v>
      </c>
      <c r="W94">
        <f t="shared" si="26"/>
        <v>-1888</v>
      </c>
      <c r="X94">
        <v>5</v>
      </c>
      <c r="Y94">
        <v>0</v>
      </c>
      <c r="Z94">
        <v>3</v>
      </c>
      <c r="AA94">
        <f t="shared" si="27"/>
        <v>1</v>
      </c>
      <c r="AB94">
        <f>VLOOKUP($AB$6, 'Other Lists'!$B$27:$H$32, 7, FALSE) *Y94*8</f>
        <v>0</v>
      </c>
      <c r="AC94">
        <f>VLOOKUP($AC$6, 'Other Lists'!$B$27:$H$32, 7, FALSE) * Z94 * 8</f>
        <v>842.40000000000009</v>
      </c>
      <c r="AD94">
        <f>VLOOKUP($AD$6, 'Other Lists'!$B$27:$H$32, 7, FALSE) * AA94 * 8</f>
        <v>259.2</v>
      </c>
      <c r="AE94">
        <f t="shared" si="28"/>
        <v>1360.8000000000002</v>
      </c>
      <c r="AF94" s="18">
        <f t="shared" si="29"/>
        <v>2.0250000000000004</v>
      </c>
      <c r="AH94">
        <v>105</v>
      </c>
      <c r="AI94">
        <v>134</v>
      </c>
      <c r="AJ94">
        <v>134</v>
      </c>
      <c r="AK94">
        <v>44</v>
      </c>
      <c r="AL94">
        <v>162</v>
      </c>
      <c r="AM94">
        <v>7</v>
      </c>
      <c r="AN94">
        <v>51</v>
      </c>
      <c r="AO94">
        <v>172</v>
      </c>
      <c r="AP94">
        <f t="shared" si="30"/>
        <v>0</v>
      </c>
      <c r="AQ94" s="17">
        <f t="shared" si="31"/>
        <v>1.2835820895522387</v>
      </c>
      <c r="AR94" s="18">
        <f>VLOOKUP($AH$8, 'Other Lists'!$B$13:$H$15, 7, FALSE)</f>
        <v>184</v>
      </c>
      <c r="AS94" s="18">
        <f>VLOOKUP($AH$8, 'Other Lists'!$B$13:$F$15, 5, FALSE)</f>
        <v>129</v>
      </c>
      <c r="AT94" s="18">
        <f>VLOOKUP($AH$8, 'Other Lists'!$B$13:$G$15, 6, FALSE)</f>
        <v>36</v>
      </c>
      <c r="AU94" s="18">
        <f t="shared" si="32"/>
        <v>165</v>
      </c>
      <c r="AV94" s="18">
        <f>VLOOKUP($AH$84, 'Other Lists'!$B$13:$H$15, 7, FALSE) *AO94</f>
        <v>31648</v>
      </c>
      <c r="AW94" s="18">
        <f t="shared" si="33"/>
        <v>22110</v>
      </c>
      <c r="AX94" s="18">
        <f t="shared" si="34"/>
        <v>9538</v>
      </c>
      <c r="AY94" s="18">
        <f t="shared" si="35"/>
        <v>-6992</v>
      </c>
      <c r="AZ94">
        <v>6</v>
      </c>
      <c r="BA94">
        <v>6</v>
      </c>
      <c r="BB94">
        <v>0</v>
      </c>
      <c r="BC94">
        <v>3</v>
      </c>
      <c r="BD94">
        <f t="shared" si="36"/>
        <v>1</v>
      </c>
      <c r="BE94">
        <f>VLOOKUP($BE$6, 'Other Lists'!$B$27:$H$32, 7, FALSE) *BB94*8</f>
        <v>0</v>
      </c>
      <c r="BF94">
        <f>VLOOKUP($BF$6, 'Other Lists'!$B$27:$H$32, 7, FALSE) * BC94 * 8</f>
        <v>842.40000000000009</v>
      </c>
      <c r="BG94">
        <f>VLOOKUP($BG$6, 'Other Lists'!$B$27:$H$32, 7, FALSE) * BD94 * 8</f>
        <v>259.2</v>
      </c>
      <c r="BH94">
        <f t="shared" si="37"/>
        <v>1641.6</v>
      </c>
      <c r="BI94">
        <f t="shared" si="38"/>
        <v>12.250746268656716</v>
      </c>
      <c r="BK94">
        <v>2</v>
      </c>
      <c r="BL94">
        <v>1</v>
      </c>
      <c r="BM94">
        <f>VLOOKUP($BM$6, 'Other Lists'!$B$27:$H$32, 7, FALSE) * BK94 * 8</f>
        <v>648</v>
      </c>
      <c r="BN94">
        <f>VLOOKUP($BN$6, 'Other Lists'!$B$27:$H$32, 7, FALSE) * BL94 * 8</f>
        <v>324</v>
      </c>
      <c r="BO94">
        <f t="shared" si="39"/>
        <v>2613.6</v>
      </c>
    </row>
  </sheetData>
  <mergeCells count="1">
    <mergeCell ref="G2:M2"/>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A270B-5908-41EF-A718-B4209E4CB9D6}">
  <dimension ref="A1:X95"/>
  <sheetViews>
    <sheetView workbookViewId="0"/>
  </sheetViews>
  <sheetFormatPr baseColWidth="10" defaultColWidth="8.83203125" defaultRowHeight="15"/>
  <cols>
    <col min="3" max="3" width="11.6640625" customWidth="1"/>
    <col min="7" max="7" width="14.5" customWidth="1"/>
    <col min="10" max="10" width="14.5" customWidth="1"/>
    <col min="13" max="13" width="14.1640625" customWidth="1"/>
    <col min="16" max="16" width="15" customWidth="1"/>
    <col min="19" max="19" width="13.83203125" customWidth="1"/>
    <col min="22" max="22" width="13.5" customWidth="1"/>
  </cols>
  <sheetData>
    <row r="1" spans="1:24" ht="21">
      <c r="A1" t="s">
        <v>177</v>
      </c>
      <c r="G1" s="14" t="str">
        <f>ReadMeFirst!D1&amp;" "&amp;ReadMeFirst!E1</f>
        <v>Data Set B</v>
      </c>
    </row>
    <row r="7" spans="1:24" s="7" customFormat="1" ht="30.75" customHeight="1">
      <c r="B7" t="s">
        <v>178</v>
      </c>
      <c r="C7" s="16" t="s">
        <v>398</v>
      </c>
      <c r="D7" s="7" t="s">
        <v>399</v>
      </c>
      <c r="E7" s="7" t="s">
        <v>400</v>
      </c>
      <c r="F7" s="7" t="s">
        <v>401</v>
      </c>
      <c r="G7" s="7" t="s">
        <v>411</v>
      </c>
      <c r="H7" s="7" t="s">
        <v>412</v>
      </c>
      <c r="I7" s="7" t="s">
        <v>413</v>
      </c>
      <c r="J7" s="7" t="s">
        <v>414</v>
      </c>
      <c r="K7" s="7" t="s">
        <v>415</v>
      </c>
      <c r="L7" s="7" t="s">
        <v>416</v>
      </c>
      <c r="M7" s="7" t="s">
        <v>417</v>
      </c>
      <c r="N7" s="7" t="s">
        <v>418</v>
      </c>
      <c r="O7" s="7" t="s">
        <v>419</v>
      </c>
      <c r="P7" s="7" t="s">
        <v>420</v>
      </c>
      <c r="Q7" s="7" t="s">
        <v>421</v>
      </c>
      <c r="R7" s="7" t="s">
        <v>422</v>
      </c>
      <c r="S7" s="7" t="s">
        <v>423</v>
      </c>
      <c r="T7" s="7" t="s">
        <v>424</v>
      </c>
      <c r="U7" s="7" t="s">
        <v>425</v>
      </c>
      <c r="V7" s="7" t="s">
        <v>426</v>
      </c>
      <c r="W7" s="7" t="s">
        <v>427</v>
      </c>
      <c r="X7" s="7" t="s">
        <v>428</v>
      </c>
    </row>
    <row r="8" spans="1:24">
      <c r="B8">
        <v>150</v>
      </c>
      <c r="C8" s="13">
        <v>45323</v>
      </c>
      <c r="D8">
        <v>1</v>
      </c>
      <c r="E8">
        <v>119</v>
      </c>
      <c r="F8">
        <v>1260</v>
      </c>
      <c r="G8" t="s">
        <v>429</v>
      </c>
      <c r="H8">
        <v>254</v>
      </c>
      <c r="I8">
        <v>243</v>
      </c>
      <c r="J8" t="s">
        <v>430</v>
      </c>
      <c r="K8">
        <v>252</v>
      </c>
      <c r="L8">
        <v>241</v>
      </c>
      <c r="M8" t="s">
        <v>431</v>
      </c>
      <c r="N8">
        <v>244</v>
      </c>
      <c r="O8">
        <v>234</v>
      </c>
      <c r="P8" t="s">
        <v>432</v>
      </c>
      <c r="Q8">
        <v>249</v>
      </c>
      <c r="R8">
        <v>234</v>
      </c>
      <c r="S8" t="s">
        <v>179</v>
      </c>
      <c r="T8">
        <v>0</v>
      </c>
      <c r="U8">
        <v>0</v>
      </c>
      <c r="V8" t="s">
        <v>433</v>
      </c>
      <c r="W8">
        <v>261</v>
      </c>
      <c r="X8">
        <v>242</v>
      </c>
    </row>
    <row r="9" spans="1:24">
      <c r="B9">
        <v>151</v>
      </c>
      <c r="C9" s="13">
        <v>45324</v>
      </c>
      <c r="D9">
        <v>1</v>
      </c>
      <c r="E9">
        <v>201</v>
      </c>
      <c r="F9">
        <v>357</v>
      </c>
      <c r="G9" t="s">
        <v>434</v>
      </c>
      <c r="H9">
        <v>88</v>
      </c>
      <c r="I9">
        <v>81</v>
      </c>
      <c r="J9" t="s">
        <v>435</v>
      </c>
      <c r="K9">
        <v>90</v>
      </c>
      <c r="L9">
        <v>83</v>
      </c>
      <c r="M9" t="s">
        <v>436</v>
      </c>
      <c r="N9">
        <v>85</v>
      </c>
      <c r="O9">
        <v>79</v>
      </c>
      <c r="P9" t="s">
        <v>437</v>
      </c>
      <c r="Q9">
        <v>85</v>
      </c>
      <c r="R9">
        <v>80</v>
      </c>
      <c r="S9" t="s">
        <v>179</v>
      </c>
      <c r="T9">
        <v>0</v>
      </c>
      <c r="U9">
        <v>0</v>
      </c>
      <c r="V9" t="s">
        <v>179</v>
      </c>
      <c r="W9">
        <v>0</v>
      </c>
      <c r="X9">
        <v>0</v>
      </c>
    </row>
    <row r="10" spans="1:24">
      <c r="B10">
        <v>152</v>
      </c>
      <c r="C10" s="13">
        <v>45325</v>
      </c>
      <c r="D10">
        <v>1</v>
      </c>
      <c r="E10">
        <v>201</v>
      </c>
      <c r="F10">
        <v>478</v>
      </c>
      <c r="G10" t="s">
        <v>438</v>
      </c>
      <c r="H10">
        <v>120</v>
      </c>
      <c r="I10">
        <v>116</v>
      </c>
      <c r="J10" t="s">
        <v>439</v>
      </c>
      <c r="K10">
        <v>117</v>
      </c>
      <c r="L10">
        <v>114</v>
      </c>
      <c r="M10" t="s">
        <v>440</v>
      </c>
      <c r="N10">
        <v>125</v>
      </c>
      <c r="O10">
        <v>121</v>
      </c>
      <c r="P10" t="s">
        <v>441</v>
      </c>
      <c r="Q10">
        <v>120</v>
      </c>
      <c r="R10">
        <v>115</v>
      </c>
      <c r="S10" t="s">
        <v>179</v>
      </c>
      <c r="T10">
        <v>0</v>
      </c>
      <c r="U10">
        <v>0</v>
      </c>
      <c r="V10" t="s">
        <v>179</v>
      </c>
      <c r="W10">
        <v>0</v>
      </c>
      <c r="X10">
        <v>0</v>
      </c>
    </row>
    <row r="11" spans="1:24">
      <c r="B11">
        <v>153</v>
      </c>
      <c r="C11" s="13">
        <v>45326</v>
      </c>
      <c r="D11">
        <v>1</v>
      </c>
      <c r="E11">
        <v>119</v>
      </c>
      <c r="F11">
        <v>619</v>
      </c>
      <c r="G11" t="s">
        <v>442</v>
      </c>
      <c r="H11">
        <v>118</v>
      </c>
      <c r="I11">
        <v>113</v>
      </c>
      <c r="J11" t="s">
        <v>443</v>
      </c>
      <c r="K11">
        <v>127</v>
      </c>
      <c r="L11">
        <v>121</v>
      </c>
      <c r="M11" t="s">
        <v>179</v>
      </c>
      <c r="N11">
        <v>0</v>
      </c>
      <c r="O11">
        <v>0</v>
      </c>
      <c r="P11" t="s">
        <v>444</v>
      </c>
      <c r="Q11">
        <v>121</v>
      </c>
      <c r="R11">
        <v>116</v>
      </c>
      <c r="S11" t="s">
        <v>445</v>
      </c>
      <c r="T11">
        <v>117</v>
      </c>
      <c r="U11">
        <v>112</v>
      </c>
      <c r="V11" t="s">
        <v>446</v>
      </c>
      <c r="W11">
        <v>136</v>
      </c>
      <c r="X11">
        <v>130</v>
      </c>
    </row>
    <row r="12" spans="1:24">
      <c r="B12">
        <v>154</v>
      </c>
      <c r="C12" s="13">
        <v>45327</v>
      </c>
      <c r="D12">
        <v>1</v>
      </c>
      <c r="E12">
        <v>201</v>
      </c>
      <c r="F12">
        <v>233</v>
      </c>
      <c r="G12" t="s">
        <v>447</v>
      </c>
      <c r="H12">
        <v>59</v>
      </c>
      <c r="I12">
        <v>56</v>
      </c>
      <c r="J12" t="s">
        <v>448</v>
      </c>
      <c r="K12">
        <v>58</v>
      </c>
      <c r="L12">
        <v>56</v>
      </c>
      <c r="M12" t="s">
        <v>449</v>
      </c>
      <c r="N12">
        <v>55</v>
      </c>
      <c r="O12">
        <v>52</v>
      </c>
      <c r="P12" t="s">
        <v>450</v>
      </c>
      <c r="Q12">
        <v>61</v>
      </c>
      <c r="R12">
        <v>58</v>
      </c>
      <c r="S12" t="s">
        <v>179</v>
      </c>
      <c r="T12">
        <v>0</v>
      </c>
      <c r="U12">
        <v>0</v>
      </c>
      <c r="V12" t="s">
        <v>179</v>
      </c>
      <c r="W12">
        <v>0</v>
      </c>
      <c r="X12">
        <v>0</v>
      </c>
    </row>
    <row r="13" spans="1:24">
      <c r="B13">
        <v>155</v>
      </c>
      <c r="C13" s="13">
        <v>45328</v>
      </c>
      <c r="D13">
        <v>1</v>
      </c>
      <c r="E13">
        <v>119</v>
      </c>
      <c r="F13">
        <v>1228</v>
      </c>
      <c r="G13" t="s">
        <v>451</v>
      </c>
      <c r="H13">
        <v>255</v>
      </c>
      <c r="I13">
        <v>237</v>
      </c>
      <c r="J13" t="s">
        <v>452</v>
      </c>
      <c r="K13">
        <v>252</v>
      </c>
      <c r="L13">
        <v>229</v>
      </c>
      <c r="M13" t="s">
        <v>453</v>
      </c>
      <c r="N13">
        <v>233</v>
      </c>
      <c r="O13">
        <v>216</v>
      </c>
      <c r="P13" t="s">
        <v>454</v>
      </c>
      <c r="Q13">
        <v>245</v>
      </c>
      <c r="R13">
        <v>222</v>
      </c>
      <c r="S13" t="s">
        <v>179</v>
      </c>
      <c r="T13">
        <v>0</v>
      </c>
      <c r="U13">
        <v>0</v>
      </c>
      <c r="V13" t="s">
        <v>455</v>
      </c>
      <c r="W13">
        <v>243</v>
      </c>
      <c r="X13">
        <v>228</v>
      </c>
    </row>
    <row r="14" spans="1:24">
      <c r="B14">
        <v>156</v>
      </c>
      <c r="C14" s="13">
        <v>45329</v>
      </c>
      <c r="D14">
        <v>1</v>
      </c>
      <c r="E14">
        <v>201</v>
      </c>
      <c r="F14">
        <v>394</v>
      </c>
      <c r="G14" t="s">
        <v>456</v>
      </c>
      <c r="H14">
        <v>131</v>
      </c>
      <c r="I14">
        <v>128</v>
      </c>
      <c r="J14" t="s">
        <v>179</v>
      </c>
      <c r="K14">
        <v>0</v>
      </c>
      <c r="L14">
        <v>0</v>
      </c>
      <c r="M14" t="s">
        <v>457</v>
      </c>
      <c r="N14">
        <v>135</v>
      </c>
      <c r="O14">
        <v>128</v>
      </c>
      <c r="P14" t="s">
        <v>458</v>
      </c>
      <c r="Q14">
        <v>127</v>
      </c>
      <c r="R14">
        <v>120</v>
      </c>
      <c r="S14" t="s">
        <v>179</v>
      </c>
      <c r="T14">
        <v>0</v>
      </c>
      <c r="U14">
        <v>0</v>
      </c>
      <c r="V14" t="s">
        <v>179</v>
      </c>
      <c r="W14">
        <v>0</v>
      </c>
      <c r="X14">
        <v>0</v>
      </c>
    </row>
    <row r="15" spans="1:24">
      <c r="B15">
        <v>157</v>
      </c>
      <c r="C15" s="13">
        <v>45330</v>
      </c>
      <c r="D15">
        <v>1</v>
      </c>
      <c r="E15">
        <v>201</v>
      </c>
      <c r="F15">
        <v>420</v>
      </c>
      <c r="G15" t="s">
        <v>459</v>
      </c>
      <c r="H15">
        <v>103</v>
      </c>
      <c r="I15">
        <v>98</v>
      </c>
      <c r="J15" t="s">
        <v>460</v>
      </c>
      <c r="K15">
        <v>102</v>
      </c>
      <c r="L15">
        <v>97</v>
      </c>
      <c r="M15" t="s">
        <v>461</v>
      </c>
      <c r="N15">
        <v>103</v>
      </c>
      <c r="O15">
        <v>101</v>
      </c>
      <c r="P15" t="s">
        <v>462</v>
      </c>
      <c r="Q15">
        <v>108</v>
      </c>
      <c r="R15">
        <v>106</v>
      </c>
      <c r="S15" t="s">
        <v>179</v>
      </c>
      <c r="T15">
        <v>0</v>
      </c>
      <c r="U15">
        <v>0</v>
      </c>
      <c r="V15" t="s">
        <v>179</v>
      </c>
      <c r="W15">
        <v>0</v>
      </c>
      <c r="X15">
        <v>0</v>
      </c>
    </row>
    <row r="16" spans="1:24">
      <c r="B16">
        <v>158</v>
      </c>
      <c r="C16" s="13">
        <v>45331</v>
      </c>
      <c r="D16">
        <v>1</v>
      </c>
      <c r="E16">
        <v>119</v>
      </c>
      <c r="F16">
        <v>1123</v>
      </c>
      <c r="G16" t="s">
        <v>463</v>
      </c>
      <c r="H16">
        <v>194</v>
      </c>
      <c r="I16">
        <v>186</v>
      </c>
      <c r="J16" t="s">
        <v>464</v>
      </c>
      <c r="K16">
        <v>187</v>
      </c>
      <c r="L16">
        <v>181</v>
      </c>
      <c r="M16" t="s">
        <v>465</v>
      </c>
      <c r="N16">
        <v>187</v>
      </c>
      <c r="O16">
        <v>183</v>
      </c>
      <c r="P16" t="s">
        <v>466</v>
      </c>
      <c r="Q16">
        <v>183</v>
      </c>
      <c r="R16">
        <v>175</v>
      </c>
      <c r="S16" t="s">
        <v>467</v>
      </c>
      <c r="T16">
        <v>192</v>
      </c>
      <c r="U16">
        <v>186</v>
      </c>
      <c r="V16" t="s">
        <v>468</v>
      </c>
      <c r="W16">
        <v>180</v>
      </c>
      <c r="X16">
        <v>174</v>
      </c>
    </row>
    <row r="17" spans="2:24">
      <c r="B17">
        <v>159</v>
      </c>
      <c r="C17" s="13">
        <v>45332</v>
      </c>
      <c r="D17">
        <v>1</v>
      </c>
      <c r="E17">
        <v>119</v>
      </c>
      <c r="F17">
        <v>1050</v>
      </c>
      <c r="G17" t="s">
        <v>469</v>
      </c>
      <c r="H17">
        <v>178</v>
      </c>
      <c r="I17">
        <v>170</v>
      </c>
      <c r="J17" t="s">
        <v>470</v>
      </c>
      <c r="K17">
        <v>171</v>
      </c>
      <c r="L17">
        <v>160</v>
      </c>
      <c r="M17" t="s">
        <v>471</v>
      </c>
      <c r="N17">
        <v>178</v>
      </c>
      <c r="O17">
        <v>170</v>
      </c>
      <c r="P17" t="s">
        <v>472</v>
      </c>
      <c r="Q17">
        <v>171</v>
      </c>
      <c r="R17">
        <v>162</v>
      </c>
      <c r="S17" t="s">
        <v>473</v>
      </c>
      <c r="T17">
        <v>168</v>
      </c>
      <c r="U17">
        <v>157</v>
      </c>
      <c r="V17" t="s">
        <v>474</v>
      </c>
      <c r="W17">
        <v>184</v>
      </c>
      <c r="X17">
        <v>172</v>
      </c>
    </row>
    <row r="18" spans="2:24">
      <c r="B18">
        <v>160</v>
      </c>
      <c r="C18" s="13">
        <v>45333</v>
      </c>
      <c r="D18">
        <v>1</v>
      </c>
      <c r="E18">
        <v>201</v>
      </c>
      <c r="F18">
        <v>178</v>
      </c>
      <c r="G18" t="s">
        <v>475</v>
      </c>
      <c r="H18">
        <v>46</v>
      </c>
      <c r="I18">
        <v>43</v>
      </c>
      <c r="J18" t="s">
        <v>476</v>
      </c>
      <c r="K18">
        <v>44</v>
      </c>
      <c r="L18">
        <v>41</v>
      </c>
      <c r="M18" t="s">
        <v>477</v>
      </c>
      <c r="N18">
        <v>45</v>
      </c>
      <c r="O18">
        <v>41</v>
      </c>
      <c r="P18" t="s">
        <v>478</v>
      </c>
      <c r="Q18">
        <v>43</v>
      </c>
      <c r="R18">
        <v>39</v>
      </c>
      <c r="S18" t="s">
        <v>179</v>
      </c>
      <c r="T18">
        <v>0</v>
      </c>
      <c r="U18">
        <v>0</v>
      </c>
      <c r="V18" t="s">
        <v>179</v>
      </c>
      <c r="W18">
        <v>0</v>
      </c>
      <c r="X18">
        <v>0</v>
      </c>
    </row>
    <row r="19" spans="2:24">
      <c r="B19">
        <v>161</v>
      </c>
      <c r="C19" s="13">
        <v>45334</v>
      </c>
      <c r="D19">
        <v>1</v>
      </c>
      <c r="E19">
        <v>201</v>
      </c>
      <c r="F19">
        <v>176</v>
      </c>
      <c r="G19" t="s">
        <v>479</v>
      </c>
      <c r="H19">
        <v>46</v>
      </c>
      <c r="I19">
        <v>44</v>
      </c>
      <c r="J19" t="s">
        <v>480</v>
      </c>
      <c r="K19">
        <v>42</v>
      </c>
      <c r="L19">
        <v>41</v>
      </c>
      <c r="M19" t="s">
        <v>481</v>
      </c>
      <c r="N19">
        <v>44</v>
      </c>
      <c r="O19">
        <v>42</v>
      </c>
      <c r="P19" t="s">
        <v>482</v>
      </c>
      <c r="Q19">
        <v>45</v>
      </c>
      <c r="R19">
        <v>44</v>
      </c>
      <c r="S19" t="s">
        <v>179</v>
      </c>
      <c r="T19">
        <v>0</v>
      </c>
      <c r="U19">
        <v>0</v>
      </c>
      <c r="V19" t="s">
        <v>179</v>
      </c>
      <c r="W19">
        <v>0</v>
      </c>
      <c r="X19">
        <v>0</v>
      </c>
    </row>
    <row r="20" spans="2:24">
      <c r="B20">
        <v>162</v>
      </c>
      <c r="C20" s="13">
        <v>45335</v>
      </c>
      <c r="D20">
        <v>1</v>
      </c>
      <c r="E20">
        <v>201</v>
      </c>
      <c r="F20">
        <v>344</v>
      </c>
      <c r="G20" t="s">
        <v>483</v>
      </c>
      <c r="H20">
        <v>87</v>
      </c>
      <c r="I20">
        <v>85</v>
      </c>
      <c r="J20" t="s">
        <v>484</v>
      </c>
      <c r="K20">
        <v>87</v>
      </c>
      <c r="L20">
        <v>84</v>
      </c>
      <c r="M20" t="s">
        <v>485</v>
      </c>
      <c r="N20">
        <v>90</v>
      </c>
      <c r="O20">
        <v>87</v>
      </c>
      <c r="P20" t="s">
        <v>486</v>
      </c>
      <c r="Q20">
        <v>84</v>
      </c>
      <c r="R20">
        <v>82</v>
      </c>
      <c r="S20" t="s">
        <v>179</v>
      </c>
      <c r="T20">
        <v>0</v>
      </c>
      <c r="U20">
        <v>0</v>
      </c>
      <c r="V20" t="s">
        <v>179</v>
      </c>
      <c r="W20">
        <v>0</v>
      </c>
      <c r="X20">
        <v>0</v>
      </c>
    </row>
    <row r="21" spans="2:24">
      <c r="B21">
        <v>163</v>
      </c>
      <c r="C21" s="13">
        <v>45336</v>
      </c>
      <c r="D21">
        <v>1</v>
      </c>
      <c r="E21">
        <v>201</v>
      </c>
      <c r="F21">
        <v>420</v>
      </c>
      <c r="G21" t="s">
        <v>487</v>
      </c>
      <c r="H21">
        <v>99</v>
      </c>
      <c r="I21">
        <v>95</v>
      </c>
      <c r="J21" t="s">
        <v>488</v>
      </c>
      <c r="K21">
        <v>108</v>
      </c>
      <c r="L21">
        <v>104</v>
      </c>
      <c r="M21" t="s">
        <v>489</v>
      </c>
      <c r="N21">
        <v>101</v>
      </c>
      <c r="O21">
        <v>96</v>
      </c>
      <c r="P21" t="s">
        <v>490</v>
      </c>
      <c r="Q21">
        <v>99</v>
      </c>
      <c r="R21">
        <v>96</v>
      </c>
      <c r="S21" t="s">
        <v>179</v>
      </c>
      <c r="T21">
        <v>0</v>
      </c>
      <c r="U21">
        <v>0</v>
      </c>
      <c r="V21" t="s">
        <v>179</v>
      </c>
      <c r="W21">
        <v>0</v>
      </c>
      <c r="X21">
        <v>0</v>
      </c>
    </row>
    <row r="22" spans="2:24">
      <c r="B22">
        <v>164</v>
      </c>
      <c r="C22" s="13">
        <v>45337</v>
      </c>
      <c r="D22">
        <v>1</v>
      </c>
      <c r="E22">
        <v>119</v>
      </c>
      <c r="F22">
        <v>1134</v>
      </c>
      <c r="G22" t="s">
        <v>491</v>
      </c>
      <c r="H22">
        <v>183</v>
      </c>
      <c r="I22">
        <v>179</v>
      </c>
      <c r="J22" t="s">
        <v>492</v>
      </c>
      <c r="K22">
        <v>198</v>
      </c>
      <c r="L22">
        <v>192</v>
      </c>
      <c r="M22" t="s">
        <v>493</v>
      </c>
      <c r="N22">
        <v>183</v>
      </c>
      <c r="O22">
        <v>179</v>
      </c>
      <c r="P22" t="s">
        <v>494</v>
      </c>
      <c r="Q22">
        <v>194</v>
      </c>
      <c r="R22">
        <v>186</v>
      </c>
      <c r="S22" t="s">
        <v>495</v>
      </c>
      <c r="T22">
        <v>187</v>
      </c>
      <c r="U22">
        <v>181</v>
      </c>
      <c r="V22" t="s">
        <v>496</v>
      </c>
      <c r="W22">
        <v>189</v>
      </c>
      <c r="X22">
        <v>185</v>
      </c>
    </row>
    <row r="23" spans="2:24">
      <c r="B23">
        <v>165</v>
      </c>
      <c r="C23" s="13">
        <v>45338</v>
      </c>
      <c r="D23">
        <v>1</v>
      </c>
      <c r="E23">
        <v>201</v>
      </c>
      <c r="F23">
        <v>336</v>
      </c>
      <c r="G23" t="s">
        <v>179</v>
      </c>
      <c r="H23">
        <v>0</v>
      </c>
      <c r="I23">
        <v>0</v>
      </c>
      <c r="J23" t="s">
        <v>497</v>
      </c>
      <c r="K23">
        <v>117</v>
      </c>
      <c r="L23">
        <v>108</v>
      </c>
      <c r="M23" t="s">
        <v>498</v>
      </c>
      <c r="N23">
        <v>113</v>
      </c>
      <c r="O23">
        <v>103</v>
      </c>
      <c r="P23" t="s">
        <v>499</v>
      </c>
      <c r="Q23">
        <v>107</v>
      </c>
      <c r="R23">
        <v>101</v>
      </c>
      <c r="S23" t="s">
        <v>179</v>
      </c>
      <c r="T23">
        <v>0</v>
      </c>
      <c r="U23">
        <v>0</v>
      </c>
      <c r="V23" t="s">
        <v>179</v>
      </c>
      <c r="W23">
        <v>0</v>
      </c>
      <c r="X23">
        <v>0</v>
      </c>
    </row>
    <row r="24" spans="2:24">
      <c r="B24">
        <v>166</v>
      </c>
      <c r="C24" s="13">
        <v>45339</v>
      </c>
      <c r="D24">
        <v>1</v>
      </c>
      <c r="E24">
        <v>201</v>
      </c>
      <c r="F24">
        <v>361</v>
      </c>
      <c r="G24" t="s">
        <v>500</v>
      </c>
      <c r="H24">
        <v>119</v>
      </c>
      <c r="I24">
        <v>111</v>
      </c>
      <c r="J24" t="s">
        <v>501</v>
      </c>
      <c r="K24">
        <v>119</v>
      </c>
      <c r="L24">
        <v>111</v>
      </c>
      <c r="M24" t="s">
        <v>179</v>
      </c>
      <c r="N24">
        <v>0</v>
      </c>
      <c r="O24">
        <v>0</v>
      </c>
      <c r="P24" t="s">
        <v>502</v>
      </c>
      <c r="Q24">
        <v>121</v>
      </c>
      <c r="R24">
        <v>111</v>
      </c>
      <c r="S24" t="s">
        <v>179</v>
      </c>
      <c r="T24">
        <v>0</v>
      </c>
      <c r="U24">
        <v>0</v>
      </c>
      <c r="V24" t="s">
        <v>179</v>
      </c>
      <c r="W24">
        <v>0</v>
      </c>
      <c r="X24">
        <v>0</v>
      </c>
    </row>
    <row r="25" spans="2:24">
      <c r="B25">
        <v>167</v>
      </c>
      <c r="C25" s="13">
        <v>45340</v>
      </c>
      <c r="D25">
        <v>1</v>
      </c>
      <c r="E25">
        <v>201</v>
      </c>
      <c r="F25">
        <v>249</v>
      </c>
      <c r="G25" t="s">
        <v>503</v>
      </c>
      <c r="H25">
        <v>63</v>
      </c>
      <c r="I25">
        <v>57</v>
      </c>
      <c r="J25" t="s">
        <v>504</v>
      </c>
      <c r="K25">
        <v>59</v>
      </c>
      <c r="L25">
        <v>54</v>
      </c>
      <c r="M25" t="s">
        <v>505</v>
      </c>
      <c r="N25">
        <v>65</v>
      </c>
      <c r="O25">
        <v>59</v>
      </c>
      <c r="P25" t="s">
        <v>506</v>
      </c>
      <c r="Q25">
        <v>63</v>
      </c>
      <c r="R25">
        <v>57</v>
      </c>
      <c r="S25" t="s">
        <v>179</v>
      </c>
      <c r="T25">
        <v>0</v>
      </c>
      <c r="U25">
        <v>0</v>
      </c>
      <c r="V25" t="s">
        <v>179</v>
      </c>
      <c r="W25">
        <v>0</v>
      </c>
      <c r="X25">
        <v>0</v>
      </c>
    </row>
    <row r="26" spans="2:24">
      <c r="B26">
        <v>168</v>
      </c>
      <c r="C26" s="13">
        <v>45341</v>
      </c>
      <c r="D26">
        <v>1</v>
      </c>
      <c r="E26">
        <v>201</v>
      </c>
      <c r="F26">
        <v>186</v>
      </c>
      <c r="G26" t="s">
        <v>507</v>
      </c>
      <c r="H26">
        <v>44</v>
      </c>
      <c r="I26">
        <v>42</v>
      </c>
      <c r="J26" t="s">
        <v>508</v>
      </c>
      <c r="K26">
        <v>47</v>
      </c>
      <c r="L26">
        <v>46</v>
      </c>
      <c r="M26" t="s">
        <v>509</v>
      </c>
      <c r="N26">
        <v>48</v>
      </c>
      <c r="O26">
        <v>47</v>
      </c>
      <c r="P26" t="s">
        <v>510</v>
      </c>
      <c r="Q26">
        <v>46</v>
      </c>
      <c r="R26">
        <v>44</v>
      </c>
      <c r="S26" t="s">
        <v>179</v>
      </c>
      <c r="T26">
        <v>0</v>
      </c>
      <c r="U26">
        <v>0</v>
      </c>
      <c r="V26" t="s">
        <v>179</v>
      </c>
      <c r="W26">
        <v>0</v>
      </c>
      <c r="X26">
        <v>0</v>
      </c>
    </row>
    <row r="27" spans="2:24">
      <c r="B27">
        <v>169</v>
      </c>
      <c r="C27" s="13">
        <v>45342</v>
      </c>
      <c r="D27">
        <v>1</v>
      </c>
      <c r="E27">
        <v>201</v>
      </c>
      <c r="F27">
        <v>504</v>
      </c>
      <c r="G27" t="s">
        <v>511</v>
      </c>
      <c r="H27">
        <v>123</v>
      </c>
      <c r="I27">
        <v>113</v>
      </c>
      <c r="J27" t="s">
        <v>512</v>
      </c>
      <c r="K27">
        <v>131</v>
      </c>
      <c r="L27">
        <v>121</v>
      </c>
      <c r="M27" t="s">
        <v>513</v>
      </c>
      <c r="N27">
        <v>120</v>
      </c>
      <c r="O27">
        <v>114</v>
      </c>
      <c r="P27" t="s">
        <v>514</v>
      </c>
      <c r="Q27">
        <v>129</v>
      </c>
      <c r="R27">
        <v>122</v>
      </c>
      <c r="S27" t="s">
        <v>179</v>
      </c>
      <c r="T27">
        <v>0</v>
      </c>
      <c r="U27">
        <v>0</v>
      </c>
      <c r="V27" t="s">
        <v>179</v>
      </c>
      <c r="W27">
        <v>0</v>
      </c>
      <c r="X27">
        <v>0</v>
      </c>
    </row>
    <row r="28" spans="2:24">
      <c r="B28">
        <v>170</v>
      </c>
      <c r="C28" s="13">
        <v>45343</v>
      </c>
      <c r="D28">
        <v>1</v>
      </c>
      <c r="E28">
        <v>119</v>
      </c>
      <c r="F28">
        <v>924</v>
      </c>
      <c r="G28" t="s">
        <v>515</v>
      </c>
      <c r="H28">
        <v>157</v>
      </c>
      <c r="I28">
        <v>144</v>
      </c>
      <c r="J28" t="s">
        <v>516</v>
      </c>
      <c r="K28">
        <v>146</v>
      </c>
      <c r="L28">
        <v>137</v>
      </c>
      <c r="M28" t="s">
        <v>517</v>
      </c>
      <c r="N28">
        <v>150</v>
      </c>
      <c r="O28">
        <v>136</v>
      </c>
      <c r="P28" t="s">
        <v>518</v>
      </c>
      <c r="Q28">
        <v>161</v>
      </c>
      <c r="R28">
        <v>149</v>
      </c>
      <c r="S28" t="s">
        <v>519</v>
      </c>
      <c r="T28">
        <v>160</v>
      </c>
      <c r="U28">
        <v>150</v>
      </c>
      <c r="V28" t="s">
        <v>520</v>
      </c>
      <c r="W28">
        <v>150</v>
      </c>
      <c r="X28">
        <v>138</v>
      </c>
    </row>
    <row r="29" spans="2:24">
      <c r="B29">
        <v>171</v>
      </c>
      <c r="C29" s="13">
        <v>45344</v>
      </c>
      <c r="D29">
        <v>1</v>
      </c>
      <c r="E29">
        <v>201</v>
      </c>
      <c r="F29">
        <v>424</v>
      </c>
      <c r="G29" t="s">
        <v>521</v>
      </c>
      <c r="H29">
        <v>144</v>
      </c>
      <c r="I29">
        <v>131</v>
      </c>
      <c r="J29" t="s">
        <v>179</v>
      </c>
      <c r="K29">
        <v>0</v>
      </c>
      <c r="L29">
        <v>0</v>
      </c>
      <c r="M29" t="s">
        <v>522</v>
      </c>
      <c r="N29">
        <v>146</v>
      </c>
      <c r="O29">
        <v>134</v>
      </c>
      <c r="P29" t="s">
        <v>523</v>
      </c>
      <c r="Q29">
        <v>137</v>
      </c>
      <c r="R29">
        <v>127</v>
      </c>
      <c r="S29" t="s">
        <v>179</v>
      </c>
      <c r="T29">
        <v>0</v>
      </c>
      <c r="U29">
        <v>0</v>
      </c>
      <c r="V29" t="s">
        <v>179</v>
      </c>
      <c r="W29">
        <v>0</v>
      </c>
      <c r="X29">
        <v>0</v>
      </c>
    </row>
    <row r="30" spans="2:24">
      <c r="B30">
        <v>172</v>
      </c>
      <c r="C30" s="13">
        <v>45345</v>
      </c>
      <c r="D30">
        <v>1</v>
      </c>
      <c r="E30">
        <v>119</v>
      </c>
      <c r="F30">
        <v>1155</v>
      </c>
      <c r="G30" t="s">
        <v>524</v>
      </c>
      <c r="H30">
        <v>235</v>
      </c>
      <c r="I30">
        <v>216</v>
      </c>
      <c r="J30" t="s">
        <v>525</v>
      </c>
      <c r="K30">
        <v>228</v>
      </c>
      <c r="L30">
        <v>214</v>
      </c>
      <c r="M30" t="s">
        <v>526</v>
      </c>
      <c r="N30">
        <v>228</v>
      </c>
      <c r="O30">
        <v>212</v>
      </c>
      <c r="P30" t="s">
        <v>527</v>
      </c>
      <c r="Q30">
        <v>242</v>
      </c>
      <c r="R30">
        <v>222</v>
      </c>
      <c r="S30" t="s">
        <v>179</v>
      </c>
      <c r="T30">
        <v>0</v>
      </c>
      <c r="U30">
        <v>0</v>
      </c>
      <c r="V30" t="s">
        <v>528</v>
      </c>
      <c r="W30">
        <v>222</v>
      </c>
      <c r="X30">
        <v>202</v>
      </c>
    </row>
    <row r="31" spans="2:24">
      <c r="B31">
        <v>173</v>
      </c>
      <c r="C31" s="13">
        <v>45346</v>
      </c>
      <c r="D31">
        <v>1</v>
      </c>
      <c r="E31">
        <v>119</v>
      </c>
      <c r="F31">
        <v>1249</v>
      </c>
      <c r="G31" t="s">
        <v>529</v>
      </c>
      <c r="H31">
        <v>237</v>
      </c>
      <c r="I31">
        <v>227</v>
      </c>
      <c r="J31" t="s">
        <v>530</v>
      </c>
      <c r="K31">
        <v>254</v>
      </c>
      <c r="L31">
        <v>246</v>
      </c>
      <c r="M31" t="s">
        <v>179</v>
      </c>
      <c r="N31">
        <v>0</v>
      </c>
      <c r="O31">
        <v>0</v>
      </c>
      <c r="P31" t="s">
        <v>531</v>
      </c>
      <c r="Q31">
        <v>257</v>
      </c>
      <c r="R31">
        <v>249</v>
      </c>
      <c r="S31" t="s">
        <v>532</v>
      </c>
      <c r="T31">
        <v>239</v>
      </c>
      <c r="U31">
        <v>231</v>
      </c>
      <c r="V31" t="s">
        <v>533</v>
      </c>
      <c r="W31">
        <v>262</v>
      </c>
      <c r="X31">
        <v>259</v>
      </c>
    </row>
    <row r="32" spans="2:24">
      <c r="B32">
        <v>174</v>
      </c>
      <c r="C32" s="13">
        <v>45347</v>
      </c>
      <c r="D32">
        <v>1</v>
      </c>
      <c r="E32">
        <v>119</v>
      </c>
      <c r="F32">
        <v>483</v>
      </c>
      <c r="G32" t="s">
        <v>534</v>
      </c>
      <c r="H32">
        <v>91</v>
      </c>
      <c r="I32">
        <v>83</v>
      </c>
      <c r="J32" t="s">
        <v>179</v>
      </c>
      <c r="K32">
        <v>0</v>
      </c>
      <c r="L32">
        <v>0</v>
      </c>
      <c r="M32" t="s">
        <v>535</v>
      </c>
      <c r="N32">
        <v>98</v>
      </c>
      <c r="O32">
        <v>90</v>
      </c>
      <c r="P32" t="s">
        <v>536</v>
      </c>
      <c r="Q32">
        <v>95</v>
      </c>
      <c r="R32">
        <v>89</v>
      </c>
      <c r="S32" t="s">
        <v>537</v>
      </c>
      <c r="T32">
        <v>98</v>
      </c>
      <c r="U32">
        <v>89</v>
      </c>
      <c r="V32" t="s">
        <v>538</v>
      </c>
      <c r="W32">
        <v>101</v>
      </c>
      <c r="X32">
        <v>92</v>
      </c>
    </row>
    <row r="33" spans="2:24">
      <c r="B33">
        <v>175</v>
      </c>
      <c r="C33" s="13">
        <v>45348</v>
      </c>
      <c r="D33">
        <v>1</v>
      </c>
      <c r="E33">
        <v>119</v>
      </c>
      <c r="F33">
        <v>530</v>
      </c>
      <c r="G33" t="s">
        <v>539</v>
      </c>
      <c r="H33">
        <v>85</v>
      </c>
      <c r="I33">
        <v>83</v>
      </c>
      <c r="J33" t="s">
        <v>540</v>
      </c>
      <c r="K33">
        <v>88</v>
      </c>
      <c r="L33">
        <v>87</v>
      </c>
      <c r="M33" t="s">
        <v>541</v>
      </c>
      <c r="N33">
        <v>83</v>
      </c>
      <c r="O33">
        <v>82</v>
      </c>
      <c r="P33" t="s">
        <v>542</v>
      </c>
      <c r="Q33">
        <v>84</v>
      </c>
      <c r="R33">
        <v>82</v>
      </c>
      <c r="S33" t="s">
        <v>543</v>
      </c>
      <c r="T33">
        <v>90</v>
      </c>
      <c r="U33">
        <v>86</v>
      </c>
      <c r="V33" t="s">
        <v>544</v>
      </c>
      <c r="W33">
        <v>100</v>
      </c>
      <c r="X33">
        <v>98</v>
      </c>
    </row>
    <row r="34" spans="2:24">
      <c r="B34">
        <v>176</v>
      </c>
      <c r="C34" s="13">
        <v>45349</v>
      </c>
      <c r="D34">
        <v>1</v>
      </c>
      <c r="E34">
        <v>201</v>
      </c>
      <c r="F34">
        <v>373</v>
      </c>
      <c r="G34" t="s">
        <v>545</v>
      </c>
      <c r="H34">
        <v>92</v>
      </c>
      <c r="I34">
        <v>86</v>
      </c>
      <c r="J34" t="s">
        <v>546</v>
      </c>
      <c r="K34">
        <v>95</v>
      </c>
      <c r="L34">
        <v>90</v>
      </c>
      <c r="M34" t="s">
        <v>547</v>
      </c>
      <c r="N34">
        <v>89</v>
      </c>
      <c r="O34">
        <v>84</v>
      </c>
      <c r="P34" t="s">
        <v>548</v>
      </c>
      <c r="Q34">
        <v>96</v>
      </c>
      <c r="R34">
        <v>89</v>
      </c>
      <c r="S34" t="s">
        <v>179</v>
      </c>
      <c r="T34">
        <v>0</v>
      </c>
      <c r="U34">
        <v>0</v>
      </c>
      <c r="V34" t="s">
        <v>179</v>
      </c>
      <c r="W34">
        <v>0</v>
      </c>
      <c r="X34">
        <v>0</v>
      </c>
    </row>
    <row r="35" spans="2:24">
      <c r="B35">
        <v>177</v>
      </c>
      <c r="C35" s="13">
        <v>45350</v>
      </c>
      <c r="D35">
        <v>1</v>
      </c>
      <c r="E35">
        <v>201</v>
      </c>
      <c r="F35">
        <v>411</v>
      </c>
      <c r="G35" t="s">
        <v>549</v>
      </c>
      <c r="H35">
        <v>137</v>
      </c>
      <c r="I35">
        <v>134</v>
      </c>
      <c r="J35" t="s">
        <v>550</v>
      </c>
      <c r="K35">
        <v>142</v>
      </c>
      <c r="L35">
        <v>137</v>
      </c>
      <c r="M35" t="s">
        <v>179</v>
      </c>
      <c r="N35">
        <v>0</v>
      </c>
      <c r="O35">
        <v>0</v>
      </c>
      <c r="P35" t="s">
        <v>551</v>
      </c>
      <c r="Q35">
        <v>134</v>
      </c>
      <c r="R35">
        <v>129</v>
      </c>
      <c r="S35" t="s">
        <v>179</v>
      </c>
      <c r="T35">
        <v>0</v>
      </c>
      <c r="U35">
        <v>0</v>
      </c>
      <c r="V35" t="s">
        <v>179</v>
      </c>
      <c r="W35">
        <v>0</v>
      </c>
      <c r="X35">
        <v>0</v>
      </c>
    </row>
    <row r="36" spans="2:24">
      <c r="B36">
        <v>178</v>
      </c>
      <c r="C36" s="13">
        <v>45351</v>
      </c>
      <c r="D36">
        <v>1</v>
      </c>
      <c r="E36">
        <v>201</v>
      </c>
      <c r="F36">
        <v>449</v>
      </c>
      <c r="G36" t="s">
        <v>552</v>
      </c>
      <c r="H36">
        <v>115</v>
      </c>
      <c r="I36">
        <v>110</v>
      </c>
      <c r="J36" t="s">
        <v>553</v>
      </c>
      <c r="K36">
        <v>115</v>
      </c>
      <c r="L36">
        <v>111</v>
      </c>
      <c r="M36" t="s">
        <v>554</v>
      </c>
      <c r="N36">
        <v>115</v>
      </c>
      <c r="O36">
        <v>112</v>
      </c>
      <c r="P36" t="s">
        <v>555</v>
      </c>
      <c r="Q36">
        <v>112</v>
      </c>
      <c r="R36">
        <v>110</v>
      </c>
      <c r="S36" t="s">
        <v>179</v>
      </c>
      <c r="T36">
        <v>0</v>
      </c>
      <c r="U36">
        <v>0</v>
      </c>
      <c r="V36" t="s">
        <v>179</v>
      </c>
      <c r="W36">
        <v>0</v>
      </c>
      <c r="X36">
        <v>0</v>
      </c>
    </row>
    <row r="37" spans="2:24">
      <c r="B37">
        <v>179</v>
      </c>
      <c r="C37" s="13">
        <v>45323</v>
      </c>
      <c r="D37">
        <v>2</v>
      </c>
      <c r="E37">
        <v>119</v>
      </c>
      <c r="F37">
        <v>910</v>
      </c>
      <c r="G37" t="s">
        <v>556</v>
      </c>
      <c r="H37">
        <v>187</v>
      </c>
      <c r="I37">
        <v>173</v>
      </c>
      <c r="J37" t="s">
        <v>557</v>
      </c>
      <c r="K37">
        <v>176</v>
      </c>
      <c r="L37">
        <v>168</v>
      </c>
      <c r="M37" t="s">
        <v>558</v>
      </c>
      <c r="N37">
        <v>185</v>
      </c>
      <c r="O37">
        <v>175</v>
      </c>
      <c r="P37" t="s">
        <v>559</v>
      </c>
      <c r="Q37">
        <v>178</v>
      </c>
      <c r="R37">
        <v>170</v>
      </c>
      <c r="S37" t="s">
        <v>179</v>
      </c>
      <c r="T37">
        <v>0</v>
      </c>
      <c r="U37">
        <v>0</v>
      </c>
      <c r="V37" t="s">
        <v>560</v>
      </c>
      <c r="W37">
        <v>184</v>
      </c>
      <c r="X37">
        <v>171</v>
      </c>
    </row>
    <row r="38" spans="2:24">
      <c r="B38">
        <v>180</v>
      </c>
      <c r="C38" s="13">
        <v>45324</v>
      </c>
      <c r="D38">
        <v>2</v>
      </c>
      <c r="E38">
        <v>201</v>
      </c>
      <c r="F38">
        <v>413</v>
      </c>
      <c r="G38" t="s">
        <v>180</v>
      </c>
      <c r="H38">
        <v>108</v>
      </c>
      <c r="I38">
        <v>101</v>
      </c>
      <c r="J38" t="s">
        <v>181</v>
      </c>
      <c r="K38">
        <v>102</v>
      </c>
      <c r="L38">
        <v>96</v>
      </c>
      <c r="M38" t="s">
        <v>182</v>
      </c>
      <c r="N38">
        <v>102</v>
      </c>
      <c r="O38">
        <v>95</v>
      </c>
      <c r="P38" t="s">
        <v>183</v>
      </c>
      <c r="Q38">
        <v>102</v>
      </c>
      <c r="R38">
        <v>96</v>
      </c>
      <c r="S38" t="s">
        <v>179</v>
      </c>
      <c r="T38">
        <v>0</v>
      </c>
      <c r="U38">
        <v>0</v>
      </c>
      <c r="V38" t="s">
        <v>179</v>
      </c>
      <c r="W38">
        <v>0</v>
      </c>
      <c r="X38">
        <v>0</v>
      </c>
    </row>
    <row r="39" spans="2:24">
      <c r="B39">
        <v>181</v>
      </c>
      <c r="C39" s="13">
        <v>45325</v>
      </c>
      <c r="D39">
        <v>2</v>
      </c>
      <c r="E39">
        <v>201</v>
      </c>
      <c r="F39">
        <v>290</v>
      </c>
      <c r="G39" t="s">
        <v>184</v>
      </c>
      <c r="H39">
        <v>71</v>
      </c>
      <c r="I39">
        <v>66</v>
      </c>
      <c r="J39" t="s">
        <v>185</v>
      </c>
      <c r="K39">
        <v>76</v>
      </c>
      <c r="L39">
        <v>71</v>
      </c>
      <c r="M39" t="s">
        <v>186</v>
      </c>
      <c r="N39">
        <v>73</v>
      </c>
      <c r="O39">
        <v>67</v>
      </c>
      <c r="P39" t="s">
        <v>187</v>
      </c>
      <c r="Q39">
        <v>68</v>
      </c>
      <c r="R39">
        <v>63</v>
      </c>
      <c r="S39" t="s">
        <v>179</v>
      </c>
      <c r="T39">
        <v>0</v>
      </c>
      <c r="U39">
        <v>0</v>
      </c>
      <c r="V39" t="s">
        <v>179</v>
      </c>
      <c r="W39">
        <v>0</v>
      </c>
      <c r="X39">
        <v>0</v>
      </c>
    </row>
    <row r="40" spans="2:24">
      <c r="B40">
        <v>182</v>
      </c>
      <c r="C40" s="13">
        <v>45326</v>
      </c>
      <c r="D40">
        <v>2</v>
      </c>
      <c r="E40">
        <v>119</v>
      </c>
      <c r="F40">
        <v>392</v>
      </c>
      <c r="G40" t="s">
        <v>179</v>
      </c>
      <c r="H40">
        <v>0</v>
      </c>
      <c r="I40">
        <v>0</v>
      </c>
      <c r="J40" t="s">
        <v>188</v>
      </c>
      <c r="K40">
        <v>82</v>
      </c>
      <c r="L40">
        <v>78</v>
      </c>
      <c r="M40" t="s">
        <v>561</v>
      </c>
      <c r="N40">
        <v>76</v>
      </c>
      <c r="O40">
        <v>73</v>
      </c>
      <c r="P40" t="s">
        <v>189</v>
      </c>
      <c r="Q40">
        <v>82</v>
      </c>
      <c r="R40">
        <v>77</v>
      </c>
      <c r="S40" t="s">
        <v>190</v>
      </c>
      <c r="T40">
        <v>76</v>
      </c>
      <c r="U40">
        <v>72</v>
      </c>
      <c r="V40" t="s">
        <v>191</v>
      </c>
      <c r="W40">
        <v>76</v>
      </c>
      <c r="X40">
        <v>72</v>
      </c>
    </row>
    <row r="41" spans="2:24">
      <c r="B41">
        <v>183</v>
      </c>
      <c r="C41" s="13">
        <v>45327</v>
      </c>
      <c r="D41">
        <v>2</v>
      </c>
      <c r="E41">
        <v>119</v>
      </c>
      <c r="F41">
        <v>290</v>
      </c>
      <c r="G41" t="s">
        <v>562</v>
      </c>
      <c r="H41">
        <v>55</v>
      </c>
      <c r="I41">
        <v>51</v>
      </c>
      <c r="J41" t="s">
        <v>563</v>
      </c>
      <c r="K41">
        <v>56</v>
      </c>
      <c r="L41">
        <v>51</v>
      </c>
      <c r="M41" t="s">
        <v>179</v>
      </c>
      <c r="N41">
        <v>0</v>
      </c>
      <c r="O41">
        <v>0</v>
      </c>
      <c r="P41" t="s">
        <v>564</v>
      </c>
      <c r="Q41">
        <v>57</v>
      </c>
      <c r="R41">
        <v>53</v>
      </c>
      <c r="S41" t="s">
        <v>565</v>
      </c>
      <c r="T41">
        <v>55</v>
      </c>
      <c r="U41">
        <v>51</v>
      </c>
      <c r="V41" t="s">
        <v>566</v>
      </c>
      <c r="W41">
        <v>67</v>
      </c>
      <c r="X41">
        <v>61</v>
      </c>
    </row>
    <row r="42" spans="2:24">
      <c r="B42">
        <v>184</v>
      </c>
      <c r="C42" s="13">
        <v>45328</v>
      </c>
      <c r="D42">
        <v>2</v>
      </c>
      <c r="E42">
        <v>201</v>
      </c>
      <c r="F42">
        <v>332</v>
      </c>
      <c r="G42" t="s">
        <v>179</v>
      </c>
      <c r="H42">
        <v>0</v>
      </c>
      <c r="I42">
        <v>0</v>
      </c>
      <c r="J42" t="s">
        <v>567</v>
      </c>
      <c r="K42">
        <v>113</v>
      </c>
      <c r="L42">
        <v>108</v>
      </c>
      <c r="M42" t="s">
        <v>568</v>
      </c>
      <c r="N42">
        <v>110</v>
      </c>
      <c r="O42">
        <v>103</v>
      </c>
      <c r="P42" t="s">
        <v>569</v>
      </c>
      <c r="Q42">
        <v>106</v>
      </c>
      <c r="R42">
        <v>101</v>
      </c>
      <c r="S42" t="s">
        <v>179</v>
      </c>
      <c r="T42">
        <v>0</v>
      </c>
      <c r="U42">
        <v>0</v>
      </c>
      <c r="V42" t="s">
        <v>179</v>
      </c>
      <c r="W42">
        <v>0</v>
      </c>
      <c r="X42">
        <v>0</v>
      </c>
    </row>
    <row r="43" spans="2:24">
      <c r="B43">
        <v>185</v>
      </c>
      <c r="C43" s="13">
        <v>45329</v>
      </c>
      <c r="D43">
        <v>2</v>
      </c>
      <c r="E43">
        <v>201</v>
      </c>
      <c r="F43">
        <v>416</v>
      </c>
      <c r="G43" t="s">
        <v>192</v>
      </c>
      <c r="H43">
        <v>137</v>
      </c>
      <c r="I43">
        <v>131</v>
      </c>
      <c r="J43" t="s">
        <v>179</v>
      </c>
      <c r="K43">
        <v>0</v>
      </c>
      <c r="L43">
        <v>0</v>
      </c>
      <c r="M43" t="s">
        <v>193</v>
      </c>
      <c r="N43">
        <v>140</v>
      </c>
      <c r="O43">
        <v>135</v>
      </c>
      <c r="P43" t="s">
        <v>194</v>
      </c>
      <c r="Q43">
        <v>145</v>
      </c>
      <c r="R43">
        <v>137</v>
      </c>
      <c r="S43" t="s">
        <v>179</v>
      </c>
      <c r="T43">
        <v>0</v>
      </c>
      <c r="U43">
        <v>0</v>
      </c>
      <c r="V43" t="s">
        <v>179</v>
      </c>
      <c r="W43">
        <v>0</v>
      </c>
      <c r="X43">
        <v>0</v>
      </c>
    </row>
    <row r="44" spans="2:24">
      <c r="B44">
        <v>186</v>
      </c>
      <c r="C44" s="13">
        <v>45330</v>
      </c>
      <c r="D44">
        <v>2</v>
      </c>
      <c r="E44">
        <v>119</v>
      </c>
      <c r="F44">
        <v>883</v>
      </c>
      <c r="G44" t="s">
        <v>195</v>
      </c>
      <c r="H44">
        <v>147</v>
      </c>
      <c r="I44">
        <v>138</v>
      </c>
      <c r="J44" t="s">
        <v>196</v>
      </c>
      <c r="K44">
        <v>153</v>
      </c>
      <c r="L44">
        <v>140</v>
      </c>
      <c r="M44" t="s">
        <v>197</v>
      </c>
      <c r="N44">
        <v>139</v>
      </c>
      <c r="O44">
        <v>127</v>
      </c>
      <c r="P44" t="s">
        <v>198</v>
      </c>
      <c r="Q44">
        <v>142</v>
      </c>
      <c r="R44">
        <v>134</v>
      </c>
      <c r="S44" t="s">
        <v>199</v>
      </c>
      <c r="T44">
        <v>145</v>
      </c>
      <c r="U44">
        <v>136</v>
      </c>
      <c r="V44" t="s">
        <v>200</v>
      </c>
      <c r="W44">
        <v>157</v>
      </c>
      <c r="X44">
        <v>144</v>
      </c>
    </row>
    <row r="45" spans="2:24">
      <c r="B45">
        <v>187</v>
      </c>
      <c r="C45" s="13">
        <v>45331</v>
      </c>
      <c r="D45">
        <v>2</v>
      </c>
      <c r="E45">
        <v>201</v>
      </c>
      <c r="F45">
        <v>287</v>
      </c>
      <c r="G45" t="s">
        <v>570</v>
      </c>
      <c r="H45">
        <v>72</v>
      </c>
      <c r="I45">
        <v>66</v>
      </c>
      <c r="J45" t="s">
        <v>571</v>
      </c>
      <c r="K45">
        <v>71</v>
      </c>
      <c r="L45">
        <v>66</v>
      </c>
      <c r="M45" t="s">
        <v>572</v>
      </c>
      <c r="N45">
        <v>68</v>
      </c>
      <c r="O45">
        <v>63</v>
      </c>
      <c r="P45" t="s">
        <v>573</v>
      </c>
      <c r="Q45">
        <v>68</v>
      </c>
      <c r="R45">
        <v>64</v>
      </c>
      <c r="S45" t="s">
        <v>179</v>
      </c>
      <c r="T45">
        <v>0</v>
      </c>
      <c r="U45">
        <v>0</v>
      </c>
      <c r="V45" t="s">
        <v>179</v>
      </c>
      <c r="W45">
        <v>0</v>
      </c>
      <c r="X45">
        <v>0</v>
      </c>
    </row>
    <row r="46" spans="2:24">
      <c r="B46">
        <v>188</v>
      </c>
      <c r="C46" s="13">
        <v>45332</v>
      </c>
      <c r="D46">
        <v>2</v>
      </c>
      <c r="E46">
        <v>201</v>
      </c>
      <c r="F46">
        <v>367</v>
      </c>
      <c r="G46" t="s">
        <v>574</v>
      </c>
      <c r="H46">
        <v>123</v>
      </c>
      <c r="I46">
        <v>115</v>
      </c>
      <c r="J46" t="s">
        <v>179</v>
      </c>
      <c r="K46">
        <v>0</v>
      </c>
      <c r="L46">
        <v>0</v>
      </c>
      <c r="M46" t="s">
        <v>575</v>
      </c>
      <c r="N46">
        <v>121</v>
      </c>
      <c r="O46">
        <v>113</v>
      </c>
      <c r="P46" t="s">
        <v>576</v>
      </c>
      <c r="Q46">
        <v>118</v>
      </c>
      <c r="R46">
        <v>110</v>
      </c>
      <c r="S46" t="s">
        <v>179</v>
      </c>
      <c r="T46">
        <v>0</v>
      </c>
      <c r="U46">
        <v>0</v>
      </c>
      <c r="V46" t="s">
        <v>179</v>
      </c>
      <c r="W46">
        <v>0</v>
      </c>
      <c r="X46">
        <v>0</v>
      </c>
    </row>
    <row r="47" spans="2:24">
      <c r="B47">
        <v>189</v>
      </c>
      <c r="C47" s="13">
        <v>45333</v>
      </c>
      <c r="D47">
        <v>2</v>
      </c>
      <c r="E47">
        <v>201</v>
      </c>
      <c r="F47">
        <v>147</v>
      </c>
      <c r="G47" t="s">
        <v>201</v>
      </c>
      <c r="H47">
        <v>38</v>
      </c>
      <c r="I47">
        <v>35</v>
      </c>
      <c r="J47" t="s">
        <v>202</v>
      </c>
      <c r="K47">
        <v>35</v>
      </c>
      <c r="L47">
        <v>32</v>
      </c>
      <c r="M47" t="s">
        <v>203</v>
      </c>
      <c r="N47">
        <v>37</v>
      </c>
      <c r="O47">
        <v>34</v>
      </c>
      <c r="P47" t="s">
        <v>204</v>
      </c>
      <c r="Q47">
        <v>37</v>
      </c>
      <c r="R47">
        <v>34</v>
      </c>
      <c r="S47" t="s">
        <v>179</v>
      </c>
      <c r="T47">
        <v>0</v>
      </c>
      <c r="U47">
        <v>0</v>
      </c>
      <c r="V47" t="s">
        <v>179</v>
      </c>
      <c r="W47">
        <v>0</v>
      </c>
      <c r="X47">
        <v>0</v>
      </c>
    </row>
    <row r="48" spans="2:24">
      <c r="B48">
        <v>190</v>
      </c>
      <c r="C48" s="13">
        <v>45334</v>
      </c>
      <c r="D48">
        <v>2</v>
      </c>
      <c r="E48">
        <v>201</v>
      </c>
      <c r="F48">
        <v>119</v>
      </c>
      <c r="G48" t="s">
        <v>577</v>
      </c>
      <c r="H48">
        <v>31</v>
      </c>
      <c r="I48">
        <v>30</v>
      </c>
      <c r="J48" t="s">
        <v>578</v>
      </c>
      <c r="K48">
        <v>30</v>
      </c>
      <c r="L48">
        <v>28</v>
      </c>
      <c r="M48" t="s">
        <v>579</v>
      </c>
      <c r="N48">
        <v>29</v>
      </c>
      <c r="O48">
        <v>28</v>
      </c>
      <c r="P48" t="s">
        <v>580</v>
      </c>
      <c r="Q48">
        <v>28</v>
      </c>
      <c r="R48">
        <v>26</v>
      </c>
      <c r="S48" t="s">
        <v>179</v>
      </c>
      <c r="T48">
        <v>0</v>
      </c>
      <c r="U48">
        <v>0</v>
      </c>
      <c r="V48" t="s">
        <v>179</v>
      </c>
      <c r="W48">
        <v>0</v>
      </c>
      <c r="X48">
        <v>0</v>
      </c>
    </row>
    <row r="49" spans="2:24">
      <c r="B49">
        <v>191</v>
      </c>
      <c r="C49" s="13">
        <v>45335</v>
      </c>
      <c r="D49">
        <v>2</v>
      </c>
      <c r="E49">
        <v>201</v>
      </c>
      <c r="F49">
        <v>308</v>
      </c>
      <c r="G49" t="s">
        <v>205</v>
      </c>
      <c r="H49">
        <v>73</v>
      </c>
      <c r="I49">
        <v>70</v>
      </c>
      <c r="J49" t="s">
        <v>206</v>
      </c>
      <c r="K49">
        <v>80</v>
      </c>
      <c r="L49">
        <v>76</v>
      </c>
      <c r="M49" t="s">
        <v>207</v>
      </c>
      <c r="N49">
        <v>74</v>
      </c>
      <c r="O49">
        <v>71</v>
      </c>
      <c r="P49" t="s">
        <v>208</v>
      </c>
      <c r="Q49">
        <v>80</v>
      </c>
      <c r="R49">
        <v>78</v>
      </c>
      <c r="S49" t="s">
        <v>179</v>
      </c>
      <c r="T49">
        <v>0</v>
      </c>
      <c r="U49">
        <v>0</v>
      </c>
      <c r="V49" t="s">
        <v>179</v>
      </c>
      <c r="W49">
        <v>0</v>
      </c>
      <c r="X49">
        <v>0</v>
      </c>
    </row>
    <row r="50" spans="2:24">
      <c r="B50">
        <v>192</v>
      </c>
      <c r="C50" s="13">
        <v>45336</v>
      </c>
      <c r="D50">
        <v>2</v>
      </c>
      <c r="E50">
        <v>119</v>
      </c>
      <c r="F50">
        <v>787</v>
      </c>
      <c r="G50" t="s">
        <v>209</v>
      </c>
      <c r="H50">
        <v>151</v>
      </c>
      <c r="I50">
        <v>146</v>
      </c>
      <c r="J50" t="s">
        <v>210</v>
      </c>
      <c r="K50">
        <v>160</v>
      </c>
      <c r="L50">
        <v>158</v>
      </c>
      <c r="M50" t="s">
        <v>211</v>
      </c>
      <c r="N50">
        <v>163</v>
      </c>
      <c r="O50">
        <v>161</v>
      </c>
      <c r="P50" t="s">
        <v>212</v>
      </c>
      <c r="Q50">
        <v>163</v>
      </c>
      <c r="R50">
        <v>161</v>
      </c>
      <c r="S50" t="s">
        <v>179</v>
      </c>
      <c r="T50">
        <v>0</v>
      </c>
      <c r="U50">
        <v>0</v>
      </c>
      <c r="V50" t="s">
        <v>213</v>
      </c>
      <c r="W50">
        <v>150</v>
      </c>
      <c r="X50">
        <v>147</v>
      </c>
    </row>
    <row r="51" spans="2:24">
      <c r="B51">
        <v>193</v>
      </c>
      <c r="C51" s="13">
        <v>45337</v>
      </c>
      <c r="D51">
        <v>2</v>
      </c>
      <c r="E51">
        <v>119</v>
      </c>
      <c r="F51">
        <v>708</v>
      </c>
      <c r="G51" t="s">
        <v>581</v>
      </c>
      <c r="H51">
        <v>148</v>
      </c>
      <c r="I51">
        <v>136</v>
      </c>
      <c r="J51" t="s">
        <v>582</v>
      </c>
      <c r="K51">
        <v>148</v>
      </c>
      <c r="L51">
        <v>136</v>
      </c>
      <c r="M51" t="s">
        <v>179</v>
      </c>
      <c r="N51">
        <v>0</v>
      </c>
      <c r="O51">
        <v>0</v>
      </c>
      <c r="P51" t="s">
        <v>583</v>
      </c>
      <c r="Q51">
        <v>141</v>
      </c>
      <c r="R51">
        <v>129</v>
      </c>
      <c r="S51" t="s">
        <v>584</v>
      </c>
      <c r="T51">
        <v>138</v>
      </c>
      <c r="U51">
        <v>128</v>
      </c>
      <c r="V51" t="s">
        <v>585</v>
      </c>
      <c r="W51">
        <v>133</v>
      </c>
      <c r="X51">
        <v>121</v>
      </c>
    </row>
    <row r="52" spans="2:24">
      <c r="B52">
        <v>194</v>
      </c>
      <c r="C52" s="13">
        <v>45338</v>
      </c>
      <c r="D52">
        <v>2</v>
      </c>
      <c r="E52">
        <v>119</v>
      </c>
      <c r="F52">
        <v>787</v>
      </c>
      <c r="G52" t="s">
        <v>586</v>
      </c>
      <c r="H52">
        <v>124</v>
      </c>
      <c r="I52">
        <v>115</v>
      </c>
      <c r="J52" t="s">
        <v>587</v>
      </c>
      <c r="K52">
        <v>131</v>
      </c>
      <c r="L52">
        <v>121</v>
      </c>
      <c r="M52" t="s">
        <v>588</v>
      </c>
      <c r="N52">
        <v>133</v>
      </c>
      <c r="O52">
        <v>127</v>
      </c>
      <c r="P52" t="s">
        <v>589</v>
      </c>
      <c r="Q52">
        <v>127</v>
      </c>
      <c r="R52">
        <v>119</v>
      </c>
      <c r="S52" t="s">
        <v>590</v>
      </c>
      <c r="T52">
        <v>136</v>
      </c>
      <c r="U52">
        <v>130</v>
      </c>
      <c r="V52" t="s">
        <v>591</v>
      </c>
      <c r="W52">
        <v>136</v>
      </c>
      <c r="X52">
        <v>130</v>
      </c>
    </row>
    <row r="53" spans="2:24">
      <c r="B53">
        <v>195</v>
      </c>
      <c r="C53" s="13">
        <v>45339</v>
      </c>
      <c r="D53">
        <v>2</v>
      </c>
      <c r="E53">
        <v>119</v>
      </c>
      <c r="F53">
        <v>997</v>
      </c>
      <c r="G53" t="s">
        <v>592</v>
      </c>
      <c r="H53">
        <v>199</v>
      </c>
      <c r="I53">
        <v>185</v>
      </c>
      <c r="J53" t="s">
        <v>593</v>
      </c>
      <c r="K53">
        <v>197</v>
      </c>
      <c r="L53">
        <v>189</v>
      </c>
      <c r="M53" t="s">
        <v>179</v>
      </c>
      <c r="N53">
        <v>0</v>
      </c>
      <c r="O53">
        <v>0</v>
      </c>
      <c r="P53" t="s">
        <v>594</v>
      </c>
      <c r="Q53">
        <v>205</v>
      </c>
      <c r="R53">
        <v>190</v>
      </c>
      <c r="S53" t="s">
        <v>595</v>
      </c>
      <c r="T53">
        <v>203</v>
      </c>
      <c r="U53">
        <v>188</v>
      </c>
      <c r="V53" t="s">
        <v>596</v>
      </c>
      <c r="W53">
        <v>193</v>
      </c>
      <c r="X53">
        <v>183</v>
      </c>
    </row>
    <row r="54" spans="2:24">
      <c r="B54">
        <v>196</v>
      </c>
      <c r="C54" s="13">
        <v>45340</v>
      </c>
      <c r="D54">
        <v>2</v>
      </c>
      <c r="E54">
        <v>201</v>
      </c>
      <c r="F54">
        <v>151</v>
      </c>
      <c r="G54" t="s">
        <v>597</v>
      </c>
      <c r="H54">
        <v>36</v>
      </c>
      <c r="I54">
        <v>32</v>
      </c>
      <c r="J54" t="s">
        <v>598</v>
      </c>
      <c r="K54">
        <v>35</v>
      </c>
      <c r="L54">
        <v>32</v>
      </c>
      <c r="M54" t="s">
        <v>599</v>
      </c>
      <c r="N54">
        <v>39</v>
      </c>
      <c r="O54">
        <v>36</v>
      </c>
      <c r="P54" t="s">
        <v>600</v>
      </c>
      <c r="Q54">
        <v>39</v>
      </c>
      <c r="R54">
        <v>35</v>
      </c>
      <c r="S54" t="s">
        <v>179</v>
      </c>
      <c r="T54">
        <v>0</v>
      </c>
      <c r="U54">
        <v>0</v>
      </c>
      <c r="V54" t="s">
        <v>179</v>
      </c>
      <c r="W54">
        <v>0</v>
      </c>
      <c r="X54">
        <v>0</v>
      </c>
    </row>
    <row r="55" spans="2:24">
      <c r="B55">
        <v>197</v>
      </c>
      <c r="C55" s="13">
        <v>45341</v>
      </c>
      <c r="D55">
        <v>2</v>
      </c>
      <c r="E55">
        <v>201</v>
      </c>
      <c r="F55">
        <v>135</v>
      </c>
      <c r="G55" t="s">
        <v>601</v>
      </c>
      <c r="H55">
        <v>32</v>
      </c>
      <c r="I55">
        <v>30</v>
      </c>
      <c r="J55" t="s">
        <v>602</v>
      </c>
      <c r="K55">
        <v>32</v>
      </c>
      <c r="L55">
        <v>30</v>
      </c>
      <c r="M55" t="s">
        <v>603</v>
      </c>
      <c r="N55">
        <v>34</v>
      </c>
      <c r="O55">
        <v>31</v>
      </c>
      <c r="P55" t="s">
        <v>604</v>
      </c>
      <c r="Q55">
        <v>33</v>
      </c>
      <c r="R55">
        <v>31</v>
      </c>
      <c r="S55" t="s">
        <v>179</v>
      </c>
      <c r="T55">
        <v>0</v>
      </c>
      <c r="U55">
        <v>0</v>
      </c>
      <c r="V55" t="s">
        <v>179</v>
      </c>
      <c r="W55">
        <v>0</v>
      </c>
      <c r="X55">
        <v>0</v>
      </c>
    </row>
    <row r="56" spans="2:24">
      <c r="B56">
        <v>198</v>
      </c>
      <c r="C56" s="13">
        <v>45342</v>
      </c>
      <c r="D56">
        <v>2</v>
      </c>
      <c r="E56">
        <v>201</v>
      </c>
      <c r="F56">
        <v>332</v>
      </c>
      <c r="G56" t="s">
        <v>214</v>
      </c>
      <c r="H56">
        <v>113</v>
      </c>
      <c r="I56">
        <v>107</v>
      </c>
      <c r="J56" t="s">
        <v>179</v>
      </c>
      <c r="K56">
        <v>0</v>
      </c>
      <c r="L56">
        <v>0</v>
      </c>
      <c r="M56" t="s">
        <v>215</v>
      </c>
      <c r="N56">
        <v>105</v>
      </c>
      <c r="O56">
        <v>97</v>
      </c>
      <c r="P56" t="s">
        <v>216</v>
      </c>
      <c r="Q56">
        <v>112</v>
      </c>
      <c r="R56">
        <v>107</v>
      </c>
      <c r="S56" t="s">
        <v>179</v>
      </c>
      <c r="T56">
        <v>0</v>
      </c>
      <c r="U56">
        <v>0</v>
      </c>
      <c r="V56" t="s">
        <v>179</v>
      </c>
      <c r="W56">
        <v>0</v>
      </c>
      <c r="X56">
        <v>0</v>
      </c>
    </row>
    <row r="57" spans="2:24">
      <c r="B57">
        <v>199</v>
      </c>
      <c r="C57" s="13">
        <v>45343</v>
      </c>
      <c r="D57">
        <v>2</v>
      </c>
      <c r="E57">
        <v>119</v>
      </c>
      <c r="F57">
        <v>953</v>
      </c>
      <c r="G57" t="s">
        <v>217</v>
      </c>
      <c r="H57">
        <v>152</v>
      </c>
      <c r="I57">
        <v>148</v>
      </c>
      <c r="J57" t="s">
        <v>218</v>
      </c>
      <c r="K57">
        <v>150</v>
      </c>
      <c r="L57">
        <v>145</v>
      </c>
      <c r="M57" t="s">
        <v>219</v>
      </c>
      <c r="N57">
        <v>162</v>
      </c>
      <c r="O57">
        <v>155</v>
      </c>
      <c r="P57" t="s">
        <v>220</v>
      </c>
      <c r="Q57">
        <v>160</v>
      </c>
      <c r="R57">
        <v>155</v>
      </c>
      <c r="S57" t="s">
        <v>221</v>
      </c>
      <c r="T57">
        <v>150</v>
      </c>
      <c r="U57">
        <v>144</v>
      </c>
      <c r="V57" t="s">
        <v>222</v>
      </c>
      <c r="W57">
        <v>179</v>
      </c>
      <c r="X57">
        <v>171</v>
      </c>
    </row>
    <row r="58" spans="2:24">
      <c r="B58">
        <v>200</v>
      </c>
      <c r="C58" s="13">
        <v>45344</v>
      </c>
      <c r="D58">
        <v>2</v>
      </c>
      <c r="E58">
        <v>201</v>
      </c>
      <c r="F58">
        <v>336</v>
      </c>
      <c r="G58" t="s">
        <v>223</v>
      </c>
      <c r="H58">
        <v>114</v>
      </c>
      <c r="I58">
        <v>110</v>
      </c>
      <c r="J58" t="s">
        <v>605</v>
      </c>
      <c r="K58">
        <v>106</v>
      </c>
      <c r="L58">
        <v>103</v>
      </c>
      <c r="M58" t="s">
        <v>179</v>
      </c>
      <c r="N58">
        <v>0</v>
      </c>
      <c r="O58">
        <v>0</v>
      </c>
      <c r="P58" t="s">
        <v>224</v>
      </c>
      <c r="Q58">
        <v>112</v>
      </c>
      <c r="R58">
        <v>110</v>
      </c>
      <c r="S58" t="s">
        <v>179</v>
      </c>
      <c r="T58">
        <v>0</v>
      </c>
      <c r="U58">
        <v>0</v>
      </c>
      <c r="V58" t="s">
        <v>179</v>
      </c>
      <c r="W58">
        <v>0</v>
      </c>
      <c r="X58">
        <v>0</v>
      </c>
    </row>
    <row r="59" spans="2:24">
      <c r="B59">
        <v>201</v>
      </c>
      <c r="C59" s="13">
        <v>45345</v>
      </c>
      <c r="D59">
        <v>2</v>
      </c>
      <c r="E59">
        <v>119</v>
      </c>
      <c r="F59">
        <v>787</v>
      </c>
      <c r="G59" t="s">
        <v>606</v>
      </c>
      <c r="H59">
        <v>133</v>
      </c>
      <c r="I59">
        <v>130</v>
      </c>
      <c r="J59" t="s">
        <v>607</v>
      </c>
      <c r="K59">
        <v>127</v>
      </c>
      <c r="L59">
        <v>123</v>
      </c>
      <c r="M59" t="s">
        <v>608</v>
      </c>
      <c r="N59">
        <v>125</v>
      </c>
      <c r="O59">
        <v>121</v>
      </c>
      <c r="P59" t="s">
        <v>609</v>
      </c>
      <c r="Q59">
        <v>136</v>
      </c>
      <c r="R59">
        <v>129</v>
      </c>
      <c r="S59" t="s">
        <v>610</v>
      </c>
      <c r="T59">
        <v>129</v>
      </c>
      <c r="U59">
        <v>123</v>
      </c>
      <c r="V59" t="s">
        <v>611</v>
      </c>
      <c r="W59">
        <v>137</v>
      </c>
      <c r="X59">
        <v>134</v>
      </c>
    </row>
    <row r="60" spans="2:24">
      <c r="B60">
        <v>202</v>
      </c>
      <c r="C60" s="13">
        <v>45346</v>
      </c>
      <c r="D60">
        <v>2</v>
      </c>
      <c r="E60">
        <v>201</v>
      </c>
      <c r="F60">
        <v>395</v>
      </c>
      <c r="G60" t="s">
        <v>225</v>
      </c>
      <c r="H60">
        <v>125</v>
      </c>
      <c r="I60">
        <v>117</v>
      </c>
      <c r="J60" t="s">
        <v>612</v>
      </c>
      <c r="K60">
        <v>126</v>
      </c>
      <c r="L60">
        <v>122</v>
      </c>
      <c r="M60" t="s">
        <v>179</v>
      </c>
      <c r="N60">
        <v>0</v>
      </c>
      <c r="O60">
        <v>0</v>
      </c>
      <c r="P60" t="s">
        <v>226</v>
      </c>
      <c r="Q60">
        <v>132</v>
      </c>
      <c r="R60">
        <v>124</v>
      </c>
      <c r="S60" t="s">
        <v>179</v>
      </c>
      <c r="T60">
        <v>0</v>
      </c>
      <c r="U60">
        <v>0</v>
      </c>
      <c r="V60" t="s">
        <v>179</v>
      </c>
      <c r="W60">
        <v>0</v>
      </c>
      <c r="X60">
        <v>0</v>
      </c>
    </row>
    <row r="61" spans="2:24">
      <c r="B61">
        <v>203</v>
      </c>
      <c r="C61" s="13">
        <v>45347</v>
      </c>
      <c r="D61">
        <v>2</v>
      </c>
      <c r="E61">
        <v>119</v>
      </c>
      <c r="F61">
        <v>322</v>
      </c>
      <c r="G61" t="s">
        <v>613</v>
      </c>
      <c r="H61">
        <v>63</v>
      </c>
      <c r="I61">
        <v>61</v>
      </c>
      <c r="J61" t="s">
        <v>614</v>
      </c>
      <c r="K61">
        <v>61</v>
      </c>
      <c r="L61">
        <v>59</v>
      </c>
      <c r="M61" t="s">
        <v>615</v>
      </c>
      <c r="N61">
        <v>66</v>
      </c>
      <c r="O61">
        <v>64</v>
      </c>
      <c r="P61" t="s">
        <v>616</v>
      </c>
      <c r="Q61">
        <v>64</v>
      </c>
      <c r="R61">
        <v>62</v>
      </c>
      <c r="S61" t="s">
        <v>179</v>
      </c>
      <c r="T61">
        <v>0</v>
      </c>
      <c r="U61">
        <v>0</v>
      </c>
      <c r="V61" t="s">
        <v>617</v>
      </c>
      <c r="W61">
        <v>68</v>
      </c>
      <c r="X61">
        <v>66</v>
      </c>
    </row>
    <row r="62" spans="2:24">
      <c r="B62">
        <v>204</v>
      </c>
      <c r="C62" s="13">
        <v>45348</v>
      </c>
      <c r="D62">
        <v>2</v>
      </c>
      <c r="E62">
        <v>119</v>
      </c>
      <c r="F62">
        <v>311</v>
      </c>
      <c r="G62" t="s">
        <v>618</v>
      </c>
      <c r="H62">
        <v>51</v>
      </c>
      <c r="I62">
        <v>48</v>
      </c>
      <c r="J62" t="s">
        <v>619</v>
      </c>
      <c r="K62">
        <v>50</v>
      </c>
      <c r="L62">
        <v>47</v>
      </c>
      <c r="M62" t="s">
        <v>620</v>
      </c>
      <c r="N62">
        <v>52</v>
      </c>
      <c r="O62">
        <v>49</v>
      </c>
      <c r="P62" t="s">
        <v>621</v>
      </c>
      <c r="Q62">
        <v>52</v>
      </c>
      <c r="R62">
        <v>49</v>
      </c>
      <c r="S62" t="s">
        <v>622</v>
      </c>
      <c r="T62">
        <v>50</v>
      </c>
      <c r="U62">
        <v>48</v>
      </c>
      <c r="V62" t="s">
        <v>623</v>
      </c>
      <c r="W62">
        <v>56</v>
      </c>
      <c r="X62">
        <v>53</v>
      </c>
    </row>
    <row r="63" spans="2:24">
      <c r="B63">
        <v>205</v>
      </c>
      <c r="C63" s="13">
        <v>45349</v>
      </c>
      <c r="D63">
        <v>2</v>
      </c>
      <c r="E63">
        <v>119</v>
      </c>
      <c r="F63">
        <v>840</v>
      </c>
      <c r="G63" t="s">
        <v>179</v>
      </c>
      <c r="H63">
        <v>0</v>
      </c>
      <c r="I63">
        <v>0</v>
      </c>
      <c r="J63" t="s">
        <v>624</v>
      </c>
      <c r="K63">
        <v>176</v>
      </c>
      <c r="L63">
        <v>168</v>
      </c>
      <c r="M63" t="s">
        <v>625</v>
      </c>
      <c r="N63">
        <v>171</v>
      </c>
      <c r="O63">
        <v>160</v>
      </c>
      <c r="P63" t="s">
        <v>626</v>
      </c>
      <c r="Q63">
        <v>161</v>
      </c>
      <c r="R63">
        <v>149</v>
      </c>
      <c r="S63" t="s">
        <v>627</v>
      </c>
      <c r="T63">
        <v>164</v>
      </c>
      <c r="U63">
        <v>157</v>
      </c>
      <c r="V63" t="s">
        <v>628</v>
      </c>
      <c r="W63">
        <v>168</v>
      </c>
      <c r="X63">
        <v>156</v>
      </c>
    </row>
    <row r="64" spans="2:24">
      <c r="B64">
        <v>206</v>
      </c>
      <c r="C64" s="13">
        <v>45350</v>
      </c>
      <c r="D64">
        <v>2</v>
      </c>
      <c r="E64">
        <v>201</v>
      </c>
      <c r="F64">
        <v>385</v>
      </c>
      <c r="G64" t="s">
        <v>629</v>
      </c>
      <c r="H64">
        <v>100</v>
      </c>
      <c r="I64">
        <v>96</v>
      </c>
      <c r="J64" t="s">
        <v>227</v>
      </c>
      <c r="K64">
        <v>96</v>
      </c>
      <c r="L64">
        <v>93</v>
      </c>
      <c r="M64" t="s">
        <v>228</v>
      </c>
      <c r="N64">
        <v>99</v>
      </c>
      <c r="O64">
        <v>96</v>
      </c>
      <c r="P64" t="s">
        <v>229</v>
      </c>
      <c r="Q64">
        <v>93</v>
      </c>
      <c r="R64">
        <v>89</v>
      </c>
      <c r="S64" t="s">
        <v>179</v>
      </c>
      <c r="T64">
        <v>0</v>
      </c>
      <c r="U64">
        <v>0</v>
      </c>
      <c r="V64" t="s">
        <v>179</v>
      </c>
      <c r="W64">
        <v>0</v>
      </c>
      <c r="X64">
        <v>0</v>
      </c>
    </row>
    <row r="65" spans="2:24">
      <c r="B65">
        <v>207</v>
      </c>
      <c r="C65" s="13">
        <v>45351</v>
      </c>
      <c r="D65">
        <v>2</v>
      </c>
      <c r="E65">
        <v>201</v>
      </c>
      <c r="F65">
        <v>399</v>
      </c>
      <c r="G65" t="s">
        <v>179</v>
      </c>
      <c r="H65">
        <v>0</v>
      </c>
      <c r="I65">
        <v>0</v>
      </c>
      <c r="J65" t="s">
        <v>230</v>
      </c>
      <c r="K65">
        <v>133</v>
      </c>
      <c r="L65">
        <v>127</v>
      </c>
      <c r="M65" t="s">
        <v>231</v>
      </c>
      <c r="N65">
        <v>134</v>
      </c>
      <c r="O65">
        <v>131</v>
      </c>
      <c r="P65" t="s">
        <v>232</v>
      </c>
      <c r="Q65">
        <v>138</v>
      </c>
      <c r="R65">
        <v>133</v>
      </c>
      <c r="S65" t="s">
        <v>179</v>
      </c>
      <c r="T65">
        <v>0</v>
      </c>
      <c r="U65">
        <v>0</v>
      </c>
      <c r="V65" t="s">
        <v>179</v>
      </c>
      <c r="W65">
        <v>0</v>
      </c>
      <c r="X65">
        <v>0</v>
      </c>
    </row>
    <row r="66" spans="2:24">
      <c r="B66">
        <v>208</v>
      </c>
      <c r="C66" s="13">
        <v>45323</v>
      </c>
      <c r="D66">
        <v>3</v>
      </c>
      <c r="E66">
        <v>201</v>
      </c>
      <c r="F66">
        <v>378</v>
      </c>
      <c r="G66" t="s">
        <v>630</v>
      </c>
      <c r="H66">
        <v>131</v>
      </c>
      <c r="I66">
        <v>120</v>
      </c>
      <c r="J66" t="s">
        <v>179</v>
      </c>
      <c r="K66">
        <v>0</v>
      </c>
      <c r="L66">
        <v>0</v>
      </c>
      <c r="M66" t="s">
        <v>631</v>
      </c>
      <c r="N66">
        <v>131</v>
      </c>
      <c r="O66">
        <v>123</v>
      </c>
      <c r="P66" t="s">
        <v>632</v>
      </c>
      <c r="Q66">
        <v>124</v>
      </c>
      <c r="R66">
        <v>112</v>
      </c>
      <c r="S66" t="s">
        <v>179</v>
      </c>
      <c r="T66">
        <v>0</v>
      </c>
      <c r="U66">
        <v>0</v>
      </c>
      <c r="V66" t="s">
        <v>179</v>
      </c>
      <c r="W66">
        <v>0</v>
      </c>
      <c r="X66">
        <v>0</v>
      </c>
    </row>
    <row r="67" spans="2:24">
      <c r="B67">
        <v>209</v>
      </c>
      <c r="C67" s="13">
        <v>45324</v>
      </c>
      <c r="D67">
        <v>3</v>
      </c>
      <c r="E67">
        <v>201</v>
      </c>
      <c r="F67">
        <v>378</v>
      </c>
      <c r="G67" t="s">
        <v>633</v>
      </c>
      <c r="H67">
        <v>91</v>
      </c>
      <c r="I67">
        <v>84</v>
      </c>
      <c r="J67" t="s">
        <v>634</v>
      </c>
      <c r="K67">
        <v>89</v>
      </c>
      <c r="L67">
        <v>81</v>
      </c>
      <c r="M67" t="s">
        <v>635</v>
      </c>
      <c r="N67">
        <v>96</v>
      </c>
      <c r="O67">
        <v>88</v>
      </c>
      <c r="P67" t="s">
        <v>636</v>
      </c>
      <c r="Q67">
        <v>97</v>
      </c>
      <c r="R67">
        <v>92</v>
      </c>
      <c r="S67" t="s">
        <v>179</v>
      </c>
      <c r="T67">
        <v>0</v>
      </c>
      <c r="U67">
        <v>0</v>
      </c>
      <c r="V67" t="s">
        <v>179</v>
      </c>
      <c r="W67">
        <v>0</v>
      </c>
      <c r="X67">
        <v>0</v>
      </c>
    </row>
    <row r="68" spans="2:24">
      <c r="B68">
        <v>210</v>
      </c>
      <c r="C68" s="13">
        <v>45325</v>
      </c>
      <c r="D68">
        <v>3</v>
      </c>
      <c r="E68">
        <v>119</v>
      </c>
      <c r="F68">
        <v>609</v>
      </c>
      <c r="G68" t="s">
        <v>637</v>
      </c>
      <c r="H68">
        <v>126</v>
      </c>
      <c r="I68">
        <v>117</v>
      </c>
      <c r="J68" t="s">
        <v>638</v>
      </c>
      <c r="K68">
        <v>125</v>
      </c>
      <c r="L68">
        <v>117</v>
      </c>
      <c r="M68" t="s">
        <v>179</v>
      </c>
      <c r="N68">
        <v>0</v>
      </c>
      <c r="O68">
        <v>0</v>
      </c>
      <c r="P68" t="s">
        <v>639</v>
      </c>
      <c r="Q68">
        <v>115</v>
      </c>
      <c r="R68">
        <v>108</v>
      </c>
      <c r="S68" t="s">
        <v>640</v>
      </c>
      <c r="T68">
        <v>121</v>
      </c>
      <c r="U68">
        <v>113</v>
      </c>
      <c r="V68" t="s">
        <v>641</v>
      </c>
      <c r="W68">
        <v>122</v>
      </c>
      <c r="X68">
        <v>112</v>
      </c>
    </row>
    <row r="69" spans="2:24">
      <c r="B69">
        <v>211</v>
      </c>
      <c r="C69" s="13">
        <v>45326</v>
      </c>
      <c r="D69">
        <v>3</v>
      </c>
      <c r="E69">
        <v>201</v>
      </c>
      <c r="F69">
        <v>0</v>
      </c>
      <c r="G69" t="s">
        <v>179</v>
      </c>
      <c r="H69">
        <v>0</v>
      </c>
      <c r="I69">
        <v>0</v>
      </c>
      <c r="J69" t="s">
        <v>179</v>
      </c>
      <c r="K69">
        <v>0</v>
      </c>
      <c r="L69">
        <v>0</v>
      </c>
      <c r="M69" t="s">
        <v>179</v>
      </c>
      <c r="N69">
        <v>0</v>
      </c>
      <c r="O69">
        <v>0</v>
      </c>
      <c r="P69" t="s">
        <v>179</v>
      </c>
      <c r="Q69">
        <v>0</v>
      </c>
      <c r="R69">
        <v>0</v>
      </c>
      <c r="S69" t="s">
        <v>179</v>
      </c>
      <c r="T69">
        <v>0</v>
      </c>
      <c r="U69">
        <v>0</v>
      </c>
      <c r="V69" t="s">
        <v>179</v>
      </c>
      <c r="W69">
        <v>0</v>
      </c>
      <c r="X69">
        <v>0</v>
      </c>
    </row>
    <row r="70" spans="2:24">
      <c r="B70">
        <v>212</v>
      </c>
      <c r="C70" s="13">
        <v>45327</v>
      </c>
      <c r="D70">
        <v>3</v>
      </c>
      <c r="E70">
        <v>201</v>
      </c>
      <c r="F70">
        <v>0</v>
      </c>
      <c r="G70" t="s">
        <v>179</v>
      </c>
      <c r="H70">
        <v>0</v>
      </c>
      <c r="I70">
        <v>0</v>
      </c>
      <c r="J70" t="s">
        <v>179</v>
      </c>
      <c r="K70">
        <v>0</v>
      </c>
      <c r="L70">
        <v>0</v>
      </c>
      <c r="M70" t="s">
        <v>179</v>
      </c>
      <c r="N70">
        <v>0</v>
      </c>
      <c r="O70">
        <v>0</v>
      </c>
      <c r="P70" t="s">
        <v>179</v>
      </c>
      <c r="Q70">
        <v>0</v>
      </c>
      <c r="R70">
        <v>0</v>
      </c>
      <c r="S70" t="s">
        <v>179</v>
      </c>
      <c r="T70">
        <v>0</v>
      </c>
      <c r="U70">
        <v>0</v>
      </c>
      <c r="V70" t="s">
        <v>179</v>
      </c>
      <c r="W70">
        <v>0</v>
      </c>
      <c r="X70">
        <v>0</v>
      </c>
    </row>
    <row r="71" spans="2:24">
      <c r="B71">
        <v>213</v>
      </c>
      <c r="C71" s="13">
        <v>45328</v>
      </c>
      <c r="D71">
        <v>3</v>
      </c>
      <c r="E71">
        <v>119</v>
      </c>
      <c r="F71">
        <v>640</v>
      </c>
      <c r="G71" t="s">
        <v>233</v>
      </c>
      <c r="H71">
        <v>104</v>
      </c>
      <c r="I71">
        <v>97</v>
      </c>
      <c r="J71" t="s">
        <v>234</v>
      </c>
      <c r="K71">
        <v>101</v>
      </c>
      <c r="L71">
        <v>95</v>
      </c>
      <c r="M71" t="s">
        <v>235</v>
      </c>
      <c r="N71">
        <v>103</v>
      </c>
      <c r="O71">
        <v>97</v>
      </c>
      <c r="P71" t="s">
        <v>236</v>
      </c>
      <c r="Q71">
        <v>107</v>
      </c>
      <c r="R71">
        <v>101</v>
      </c>
      <c r="S71" t="s">
        <v>237</v>
      </c>
      <c r="T71">
        <v>105</v>
      </c>
      <c r="U71">
        <v>97</v>
      </c>
      <c r="V71" t="s">
        <v>238</v>
      </c>
      <c r="W71">
        <v>120</v>
      </c>
      <c r="X71">
        <v>112</v>
      </c>
    </row>
    <row r="72" spans="2:24">
      <c r="B72">
        <v>214</v>
      </c>
      <c r="C72" s="13">
        <v>45329</v>
      </c>
      <c r="D72">
        <v>3</v>
      </c>
      <c r="E72">
        <v>201</v>
      </c>
      <c r="F72">
        <v>302</v>
      </c>
      <c r="G72" t="s">
        <v>642</v>
      </c>
      <c r="H72">
        <v>76</v>
      </c>
      <c r="I72">
        <v>73</v>
      </c>
      <c r="J72" t="s">
        <v>643</v>
      </c>
      <c r="K72">
        <v>78</v>
      </c>
      <c r="L72">
        <v>75</v>
      </c>
      <c r="M72" t="s">
        <v>644</v>
      </c>
      <c r="N72">
        <v>74</v>
      </c>
      <c r="O72">
        <v>71</v>
      </c>
      <c r="P72" t="s">
        <v>645</v>
      </c>
      <c r="Q72">
        <v>79</v>
      </c>
      <c r="R72">
        <v>74</v>
      </c>
      <c r="S72" t="s">
        <v>179</v>
      </c>
      <c r="T72">
        <v>0</v>
      </c>
      <c r="U72">
        <v>0</v>
      </c>
      <c r="V72" t="s">
        <v>179</v>
      </c>
      <c r="W72">
        <v>0</v>
      </c>
      <c r="X72">
        <v>0</v>
      </c>
    </row>
    <row r="73" spans="2:24">
      <c r="B73">
        <v>215</v>
      </c>
      <c r="C73" s="13">
        <v>45330</v>
      </c>
      <c r="D73">
        <v>3</v>
      </c>
      <c r="E73">
        <v>119</v>
      </c>
      <c r="F73">
        <v>913</v>
      </c>
      <c r="G73" t="s">
        <v>646</v>
      </c>
      <c r="H73">
        <v>149</v>
      </c>
      <c r="I73">
        <v>146</v>
      </c>
      <c r="J73" t="s">
        <v>647</v>
      </c>
      <c r="K73">
        <v>147</v>
      </c>
      <c r="L73">
        <v>139</v>
      </c>
      <c r="M73" t="s">
        <v>648</v>
      </c>
      <c r="N73">
        <v>155</v>
      </c>
      <c r="O73">
        <v>147</v>
      </c>
      <c r="P73" t="s">
        <v>649</v>
      </c>
      <c r="Q73">
        <v>144</v>
      </c>
      <c r="R73">
        <v>138</v>
      </c>
      <c r="S73" t="s">
        <v>650</v>
      </c>
      <c r="T73">
        <v>155</v>
      </c>
      <c r="U73">
        <v>147</v>
      </c>
      <c r="V73" t="s">
        <v>651</v>
      </c>
      <c r="W73">
        <v>163</v>
      </c>
      <c r="X73">
        <v>158</v>
      </c>
    </row>
    <row r="74" spans="2:24">
      <c r="B74">
        <v>216</v>
      </c>
      <c r="C74" s="13">
        <v>45331</v>
      </c>
      <c r="D74">
        <v>3</v>
      </c>
      <c r="E74">
        <v>201</v>
      </c>
      <c r="F74">
        <v>226</v>
      </c>
      <c r="G74" t="s">
        <v>652</v>
      </c>
      <c r="H74">
        <v>76</v>
      </c>
      <c r="I74">
        <v>70</v>
      </c>
      <c r="J74" t="s">
        <v>653</v>
      </c>
      <c r="K74">
        <v>79</v>
      </c>
      <c r="L74">
        <v>74</v>
      </c>
      <c r="M74" t="s">
        <v>179</v>
      </c>
      <c r="N74">
        <v>0</v>
      </c>
      <c r="O74">
        <v>0</v>
      </c>
      <c r="P74" t="s">
        <v>654</v>
      </c>
      <c r="Q74">
        <v>76</v>
      </c>
      <c r="R74">
        <v>71</v>
      </c>
      <c r="S74" t="s">
        <v>179</v>
      </c>
      <c r="T74">
        <v>0</v>
      </c>
      <c r="U74">
        <v>0</v>
      </c>
      <c r="V74" t="s">
        <v>179</v>
      </c>
      <c r="W74">
        <v>0</v>
      </c>
      <c r="X74">
        <v>0</v>
      </c>
    </row>
    <row r="75" spans="2:24">
      <c r="B75">
        <v>217</v>
      </c>
      <c r="C75" s="13">
        <v>45332</v>
      </c>
      <c r="D75">
        <v>3</v>
      </c>
      <c r="E75">
        <v>119</v>
      </c>
      <c r="F75">
        <v>840</v>
      </c>
      <c r="G75" t="s">
        <v>179</v>
      </c>
      <c r="H75">
        <v>0</v>
      </c>
      <c r="I75">
        <v>0</v>
      </c>
      <c r="J75" t="s">
        <v>655</v>
      </c>
      <c r="K75">
        <v>171</v>
      </c>
      <c r="L75">
        <v>165</v>
      </c>
      <c r="M75" t="s">
        <v>656</v>
      </c>
      <c r="N75">
        <v>174</v>
      </c>
      <c r="O75">
        <v>170</v>
      </c>
      <c r="P75" t="s">
        <v>657</v>
      </c>
      <c r="Q75">
        <v>171</v>
      </c>
      <c r="R75">
        <v>167</v>
      </c>
      <c r="S75" t="s">
        <v>658</v>
      </c>
      <c r="T75">
        <v>174</v>
      </c>
      <c r="U75">
        <v>170</v>
      </c>
      <c r="V75" t="s">
        <v>659</v>
      </c>
      <c r="W75">
        <v>150</v>
      </c>
      <c r="X75">
        <v>147</v>
      </c>
    </row>
    <row r="76" spans="2:24">
      <c r="B76">
        <v>218</v>
      </c>
      <c r="C76" s="13">
        <v>45333</v>
      </c>
      <c r="D76">
        <v>3</v>
      </c>
      <c r="E76">
        <v>201</v>
      </c>
      <c r="F76">
        <v>0</v>
      </c>
      <c r="G76" t="s">
        <v>179</v>
      </c>
      <c r="H76">
        <v>0</v>
      </c>
      <c r="I76">
        <v>0</v>
      </c>
      <c r="J76" t="s">
        <v>179</v>
      </c>
      <c r="K76">
        <v>0</v>
      </c>
      <c r="L76">
        <v>0</v>
      </c>
      <c r="M76" t="s">
        <v>179</v>
      </c>
      <c r="N76">
        <v>0</v>
      </c>
      <c r="O76">
        <v>0</v>
      </c>
      <c r="P76" t="s">
        <v>179</v>
      </c>
      <c r="Q76">
        <v>0</v>
      </c>
      <c r="R76">
        <v>0</v>
      </c>
      <c r="S76" t="s">
        <v>179</v>
      </c>
      <c r="T76">
        <v>0</v>
      </c>
      <c r="U76">
        <v>0</v>
      </c>
      <c r="V76" t="s">
        <v>179</v>
      </c>
      <c r="W76">
        <v>0</v>
      </c>
      <c r="X76">
        <v>0</v>
      </c>
    </row>
    <row r="77" spans="2:24">
      <c r="B77">
        <v>219</v>
      </c>
      <c r="C77" s="13">
        <v>45334</v>
      </c>
      <c r="D77">
        <v>3</v>
      </c>
      <c r="E77">
        <v>201</v>
      </c>
      <c r="F77">
        <v>0</v>
      </c>
      <c r="G77" t="s">
        <v>179</v>
      </c>
      <c r="H77">
        <v>0</v>
      </c>
      <c r="I77">
        <v>0</v>
      </c>
      <c r="J77" t="s">
        <v>179</v>
      </c>
      <c r="K77">
        <v>0</v>
      </c>
      <c r="L77">
        <v>0</v>
      </c>
      <c r="M77" t="s">
        <v>179</v>
      </c>
      <c r="N77">
        <v>0</v>
      </c>
      <c r="O77">
        <v>0</v>
      </c>
      <c r="P77" t="s">
        <v>179</v>
      </c>
      <c r="Q77">
        <v>0</v>
      </c>
      <c r="R77">
        <v>0</v>
      </c>
      <c r="S77" t="s">
        <v>179</v>
      </c>
      <c r="T77">
        <v>0</v>
      </c>
      <c r="U77">
        <v>0</v>
      </c>
      <c r="V77" t="s">
        <v>179</v>
      </c>
      <c r="W77">
        <v>0</v>
      </c>
      <c r="X77">
        <v>0</v>
      </c>
    </row>
    <row r="78" spans="2:24">
      <c r="B78">
        <v>220</v>
      </c>
      <c r="C78" s="13">
        <v>45335</v>
      </c>
      <c r="D78">
        <v>3</v>
      </c>
      <c r="E78">
        <v>201</v>
      </c>
      <c r="F78">
        <v>352</v>
      </c>
      <c r="G78" t="s">
        <v>660</v>
      </c>
      <c r="H78">
        <v>113</v>
      </c>
      <c r="I78">
        <v>108</v>
      </c>
      <c r="J78" t="s">
        <v>661</v>
      </c>
      <c r="K78">
        <v>113</v>
      </c>
      <c r="L78">
        <v>107</v>
      </c>
      <c r="M78" t="s">
        <v>179</v>
      </c>
      <c r="N78">
        <v>0</v>
      </c>
      <c r="O78">
        <v>0</v>
      </c>
      <c r="P78" t="s">
        <v>662</v>
      </c>
      <c r="Q78">
        <v>111</v>
      </c>
      <c r="R78">
        <v>104</v>
      </c>
      <c r="S78" t="s">
        <v>179</v>
      </c>
      <c r="T78">
        <v>0</v>
      </c>
      <c r="U78">
        <v>0</v>
      </c>
      <c r="V78" t="s">
        <v>179</v>
      </c>
      <c r="W78">
        <v>0</v>
      </c>
      <c r="X78">
        <v>0</v>
      </c>
    </row>
    <row r="79" spans="2:24">
      <c r="B79">
        <v>221</v>
      </c>
      <c r="C79" s="13">
        <v>45336</v>
      </c>
      <c r="D79">
        <v>3</v>
      </c>
      <c r="E79">
        <v>201</v>
      </c>
      <c r="F79">
        <v>298</v>
      </c>
      <c r="G79" t="s">
        <v>179</v>
      </c>
      <c r="H79">
        <v>0</v>
      </c>
      <c r="I79">
        <v>0</v>
      </c>
      <c r="J79" t="s">
        <v>663</v>
      </c>
      <c r="K79">
        <v>95</v>
      </c>
      <c r="L79">
        <v>90</v>
      </c>
      <c r="M79" t="s">
        <v>664</v>
      </c>
      <c r="N79">
        <v>101</v>
      </c>
      <c r="O79">
        <v>94</v>
      </c>
      <c r="P79" t="s">
        <v>665</v>
      </c>
      <c r="Q79">
        <v>102</v>
      </c>
      <c r="R79">
        <v>95</v>
      </c>
      <c r="S79" t="s">
        <v>179</v>
      </c>
      <c r="T79">
        <v>0</v>
      </c>
      <c r="U79">
        <v>0</v>
      </c>
      <c r="V79" t="s">
        <v>179</v>
      </c>
      <c r="W79">
        <v>0</v>
      </c>
      <c r="X79">
        <v>0</v>
      </c>
    </row>
    <row r="80" spans="2:24">
      <c r="B80">
        <v>222</v>
      </c>
      <c r="C80" s="13">
        <v>45337</v>
      </c>
      <c r="D80">
        <v>3</v>
      </c>
      <c r="E80">
        <v>119</v>
      </c>
      <c r="F80">
        <v>819</v>
      </c>
      <c r="G80" t="s">
        <v>666</v>
      </c>
      <c r="H80">
        <v>141</v>
      </c>
      <c r="I80">
        <v>131</v>
      </c>
      <c r="J80" t="s">
        <v>239</v>
      </c>
      <c r="K80">
        <v>133</v>
      </c>
      <c r="L80">
        <v>125</v>
      </c>
      <c r="M80" t="s">
        <v>240</v>
      </c>
      <c r="N80">
        <v>141</v>
      </c>
      <c r="O80">
        <v>135</v>
      </c>
      <c r="P80" t="s">
        <v>241</v>
      </c>
      <c r="Q80">
        <v>141</v>
      </c>
      <c r="R80">
        <v>132</v>
      </c>
      <c r="S80" t="s">
        <v>242</v>
      </c>
      <c r="T80">
        <v>133</v>
      </c>
      <c r="U80">
        <v>123</v>
      </c>
      <c r="V80" t="s">
        <v>243</v>
      </c>
      <c r="W80">
        <v>130</v>
      </c>
      <c r="X80">
        <v>123</v>
      </c>
    </row>
    <row r="81" spans="2:24">
      <c r="B81">
        <v>223</v>
      </c>
      <c r="C81" s="13">
        <v>45338</v>
      </c>
      <c r="D81">
        <v>3</v>
      </c>
      <c r="E81">
        <v>119</v>
      </c>
      <c r="F81">
        <v>892</v>
      </c>
      <c r="G81" t="s">
        <v>667</v>
      </c>
      <c r="H81">
        <v>150</v>
      </c>
      <c r="I81">
        <v>142</v>
      </c>
      <c r="J81" t="s">
        <v>244</v>
      </c>
      <c r="K81">
        <v>145</v>
      </c>
      <c r="L81">
        <v>136</v>
      </c>
      <c r="M81" t="s">
        <v>245</v>
      </c>
      <c r="N81">
        <v>148</v>
      </c>
      <c r="O81">
        <v>140</v>
      </c>
      <c r="P81" t="s">
        <v>246</v>
      </c>
      <c r="Q81">
        <v>154</v>
      </c>
      <c r="R81">
        <v>149</v>
      </c>
      <c r="S81" t="s">
        <v>247</v>
      </c>
      <c r="T81">
        <v>142</v>
      </c>
      <c r="U81">
        <v>133</v>
      </c>
      <c r="V81" t="s">
        <v>248</v>
      </c>
      <c r="W81">
        <v>153</v>
      </c>
      <c r="X81">
        <v>145</v>
      </c>
    </row>
    <row r="82" spans="2:24">
      <c r="B82">
        <v>224</v>
      </c>
      <c r="C82" s="13">
        <v>45339</v>
      </c>
      <c r="D82">
        <v>3</v>
      </c>
      <c r="E82">
        <v>119</v>
      </c>
      <c r="F82">
        <v>619</v>
      </c>
      <c r="G82" t="s">
        <v>668</v>
      </c>
      <c r="H82">
        <v>100</v>
      </c>
      <c r="I82">
        <v>93</v>
      </c>
      <c r="J82" t="s">
        <v>669</v>
      </c>
      <c r="K82">
        <v>105</v>
      </c>
      <c r="L82">
        <v>97</v>
      </c>
      <c r="M82" t="s">
        <v>670</v>
      </c>
      <c r="N82">
        <v>102</v>
      </c>
      <c r="O82">
        <v>95</v>
      </c>
      <c r="P82" t="s">
        <v>671</v>
      </c>
      <c r="Q82">
        <v>106</v>
      </c>
      <c r="R82">
        <v>101</v>
      </c>
      <c r="S82" t="s">
        <v>672</v>
      </c>
      <c r="T82">
        <v>100</v>
      </c>
      <c r="U82">
        <v>96</v>
      </c>
      <c r="V82" t="s">
        <v>673</v>
      </c>
      <c r="W82">
        <v>106</v>
      </c>
      <c r="X82">
        <v>100</v>
      </c>
    </row>
    <row r="83" spans="2:24">
      <c r="B83">
        <v>225</v>
      </c>
      <c r="C83" s="13">
        <v>45340</v>
      </c>
      <c r="D83">
        <v>3</v>
      </c>
      <c r="E83">
        <v>119</v>
      </c>
      <c r="F83">
        <v>0</v>
      </c>
      <c r="G83" t="s">
        <v>179</v>
      </c>
      <c r="H83">
        <v>0</v>
      </c>
      <c r="I83">
        <v>0</v>
      </c>
      <c r="J83" t="s">
        <v>179</v>
      </c>
      <c r="K83">
        <v>0</v>
      </c>
      <c r="L83">
        <v>0</v>
      </c>
      <c r="M83" t="s">
        <v>179</v>
      </c>
      <c r="N83">
        <v>0</v>
      </c>
      <c r="O83">
        <v>0</v>
      </c>
      <c r="P83" t="s">
        <v>179</v>
      </c>
      <c r="Q83">
        <v>0</v>
      </c>
      <c r="R83">
        <v>0</v>
      </c>
      <c r="S83" t="s">
        <v>179</v>
      </c>
      <c r="T83">
        <v>0</v>
      </c>
      <c r="U83">
        <v>0</v>
      </c>
      <c r="V83" t="s">
        <v>179</v>
      </c>
      <c r="W83">
        <v>0</v>
      </c>
      <c r="X83">
        <v>0</v>
      </c>
    </row>
    <row r="84" spans="2:24">
      <c r="B84">
        <v>226</v>
      </c>
      <c r="C84" s="13">
        <v>45341</v>
      </c>
      <c r="D84">
        <v>3</v>
      </c>
      <c r="E84">
        <v>119</v>
      </c>
      <c r="F84">
        <v>0</v>
      </c>
      <c r="G84" t="s">
        <v>179</v>
      </c>
      <c r="H84">
        <v>0</v>
      </c>
      <c r="I84">
        <v>0</v>
      </c>
      <c r="J84" t="s">
        <v>179</v>
      </c>
      <c r="K84">
        <v>0</v>
      </c>
      <c r="L84">
        <v>0</v>
      </c>
      <c r="M84" t="s">
        <v>179</v>
      </c>
      <c r="N84">
        <v>0</v>
      </c>
      <c r="O84">
        <v>0</v>
      </c>
      <c r="P84" t="s">
        <v>179</v>
      </c>
      <c r="Q84">
        <v>0</v>
      </c>
      <c r="R84">
        <v>0</v>
      </c>
      <c r="S84" t="s">
        <v>179</v>
      </c>
      <c r="T84">
        <v>0</v>
      </c>
      <c r="U84">
        <v>0</v>
      </c>
      <c r="V84" t="s">
        <v>179</v>
      </c>
      <c r="W84">
        <v>0</v>
      </c>
      <c r="X84">
        <v>0</v>
      </c>
    </row>
    <row r="85" spans="2:24">
      <c r="B85">
        <v>227</v>
      </c>
      <c r="C85" s="13">
        <v>45342</v>
      </c>
      <c r="D85">
        <v>3</v>
      </c>
      <c r="E85">
        <v>119</v>
      </c>
      <c r="F85">
        <v>682</v>
      </c>
      <c r="G85" t="s">
        <v>249</v>
      </c>
      <c r="H85">
        <v>112</v>
      </c>
      <c r="I85">
        <v>107</v>
      </c>
      <c r="J85" t="s">
        <v>250</v>
      </c>
      <c r="K85">
        <v>114</v>
      </c>
      <c r="L85">
        <v>110</v>
      </c>
      <c r="M85" t="s">
        <v>251</v>
      </c>
      <c r="N85">
        <v>118</v>
      </c>
      <c r="O85">
        <v>113</v>
      </c>
      <c r="P85" t="s">
        <v>252</v>
      </c>
      <c r="Q85">
        <v>119</v>
      </c>
      <c r="R85">
        <v>111</v>
      </c>
      <c r="S85" t="s">
        <v>253</v>
      </c>
      <c r="T85">
        <v>113</v>
      </c>
      <c r="U85">
        <v>106</v>
      </c>
      <c r="V85" t="s">
        <v>254</v>
      </c>
      <c r="W85">
        <v>106</v>
      </c>
      <c r="X85">
        <v>101</v>
      </c>
    </row>
    <row r="86" spans="2:24">
      <c r="B86">
        <v>228</v>
      </c>
      <c r="C86" s="13">
        <v>45343</v>
      </c>
      <c r="D86">
        <v>3</v>
      </c>
      <c r="E86">
        <v>201</v>
      </c>
      <c r="F86">
        <v>369</v>
      </c>
      <c r="G86" t="s">
        <v>674</v>
      </c>
      <c r="H86">
        <v>116</v>
      </c>
      <c r="I86">
        <v>106</v>
      </c>
      <c r="J86" t="s">
        <v>179</v>
      </c>
      <c r="K86">
        <v>0</v>
      </c>
      <c r="L86">
        <v>0</v>
      </c>
      <c r="M86" t="s">
        <v>675</v>
      </c>
      <c r="N86">
        <v>119</v>
      </c>
      <c r="O86">
        <v>108</v>
      </c>
      <c r="P86" t="s">
        <v>676</v>
      </c>
      <c r="Q86">
        <v>120</v>
      </c>
      <c r="R86">
        <v>109</v>
      </c>
      <c r="S86" t="s">
        <v>179</v>
      </c>
      <c r="T86">
        <v>0</v>
      </c>
      <c r="U86">
        <v>0</v>
      </c>
      <c r="V86" t="s">
        <v>179</v>
      </c>
      <c r="W86">
        <v>0</v>
      </c>
      <c r="X86">
        <v>0</v>
      </c>
    </row>
    <row r="87" spans="2:24">
      <c r="B87">
        <v>229</v>
      </c>
      <c r="C87" s="13">
        <v>45344</v>
      </c>
      <c r="D87">
        <v>3</v>
      </c>
      <c r="E87">
        <v>119</v>
      </c>
      <c r="F87">
        <v>903</v>
      </c>
      <c r="G87" t="s">
        <v>255</v>
      </c>
      <c r="H87">
        <v>150</v>
      </c>
      <c r="I87">
        <v>144</v>
      </c>
      <c r="J87" t="s">
        <v>256</v>
      </c>
      <c r="K87">
        <v>148</v>
      </c>
      <c r="L87">
        <v>142</v>
      </c>
      <c r="M87" t="s">
        <v>257</v>
      </c>
      <c r="N87">
        <v>155</v>
      </c>
      <c r="O87">
        <v>150</v>
      </c>
      <c r="P87" t="s">
        <v>258</v>
      </c>
      <c r="Q87">
        <v>153</v>
      </c>
      <c r="R87">
        <v>151</v>
      </c>
      <c r="S87" t="s">
        <v>259</v>
      </c>
      <c r="T87">
        <v>142</v>
      </c>
      <c r="U87">
        <v>136</v>
      </c>
      <c r="V87" t="s">
        <v>260</v>
      </c>
      <c r="W87">
        <v>155</v>
      </c>
      <c r="X87">
        <v>148</v>
      </c>
    </row>
    <row r="88" spans="2:24">
      <c r="B88">
        <v>230</v>
      </c>
      <c r="C88" s="13">
        <v>45345</v>
      </c>
      <c r="D88">
        <v>3</v>
      </c>
      <c r="E88">
        <v>201</v>
      </c>
      <c r="F88">
        <v>378</v>
      </c>
      <c r="G88" t="s">
        <v>261</v>
      </c>
      <c r="H88">
        <v>99</v>
      </c>
      <c r="I88">
        <v>94</v>
      </c>
      <c r="J88" t="s">
        <v>262</v>
      </c>
      <c r="K88">
        <v>89</v>
      </c>
      <c r="L88">
        <v>84</v>
      </c>
      <c r="M88" t="s">
        <v>263</v>
      </c>
      <c r="N88">
        <v>96</v>
      </c>
      <c r="O88">
        <v>93</v>
      </c>
      <c r="P88" t="s">
        <v>264</v>
      </c>
      <c r="Q88">
        <v>97</v>
      </c>
      <c r="R88">
        <v>92</v>
      </c>
      <c r="S88" t="s">
        <v>179</v>
      </c>
      <c r="T88">
        <v>0</v>
      </c>
      <c r="U88">
        <v>0</v>
      </c>
      <c r="V88" t="s">
        <v>179</v>
      </c>
      <c r="W88">
        <v>0</v>
      </c>
      <c r="X88">
        <v>0</v>
      </c>
    </row>
    <row r="89" spans="2:24">
      <c r="B89">
        <v>231</v>
      </c>
      <c r="C89" s="13">
        <v>45346</v>
      </c>
      <c r="D89">
        <v>3</v>
      </c>
      <c r="E89">
        <v>119</v>
      </c>
      <c r="F89">
        <v>861</v>
      </c>
      <c r="G89" t="s">
        <v>179</v>
      </c>
      <c r="H89">
        <v>0</v>
      </c>
      <c r="I89">
        <v>0</v>
      </c>
      <c r="J89" t="s">
        <v>265</v>
      </c>
      <c r="K89">
        <v>168</v>
      </c>
      <c r="L89">
        <v>161</v>
      </c>
      <c r="M89" t="s">
        <v>266</v>
      </c>
      <c r="N89">
        <v>168</v>
      </c>
      <c r="O89">
        <v>159</v>
      </c>
      <c r="P89" t="s">
        <v>267</v>
      </c>
      <c r="Q89">
        <v>179</v>
      </c>
      <c r="R89">
        <v>168</v>
      </c>
      <c r="S89" t="s">
        <v>268</v>
      </c>
      <c r="T89">
        <v>170</v>
      </c>
      <c r="U89">
        <v>158</v>
      </c>
      <c r="V89" t="s">
        <v>269</v>
      </c>
      <c r="W89">
        <v>176</v>
      </c>
      <c r="X89">
        <v>167</v>
      </c>
    </row>
    <row r="90" spans="2:24">
      <c r="B90">
        <v>232</v>
      </c>
      <c r="C90" s="13">
        <v>45347</v>
      </c>
      <c r="D90">
        <v>3</v>
      </c>
      <c r="E90">
        <v>201</v>
      </c>
      <c r="F90">
        <v>0</v>
      </c>
      <c r="G90" t="s">
        <v>179</v>
      </c>
      <c r="H90">
        <v>0</v>
      </c>
      <c r="I90">
        <v>0</v>
      </c>
      <c r="J90" t="s">
        <v>179</v>
      </c>
      <c r="K90">
        <v>0</v>
      </c>
      <c r="L90">
        <v>0</v>
      </c>
      <c r="M90" t="s">
        <v>179</v>
      </c>
      <c r="N90">
        <v>0</v>
      </c>
      <c r="O90">
        <v>0</v>
      </c>
      <c r="P90" t="s">
        <v>179</v>
      </c>
      <c r="Q90">
        <v>0</v>
      </c>
      <c r="R90">
        <v>0</v>
      </c>
      <c r="S90" t="s">
        <v>179</v>
      </c>
      <c r="T90">
        <v>0</v>
      </c>
      <c r="U90">
        <v>0</v>
      </c>
      <c r="V90" t="s">
        <v>179</v>
      </c>
      <c r="W90">
        <v>0</v>
      </c>
      <c r="X90">
        <v>0</v>
      </c>
    </row>
    <row r="91" spans="2:24">
      <c r="B91">
        <v>233</v>
      </c>
      <c r="C91" s="13">
        <v>45348</v>
      </c>
      <c r="D91">
        <v>3</v>
      </c>
      <c r="E91">
        <v>201</v>
      </c>
      <c r="F91">
        <v>0</v>
      </c>
      <c r="G91" t="s">
        <v>179</v>
      </c>
      <c r="H91">
        <v>0</v>
      </c>
      <c r="I91">
        <v>0</v>
      </c>
      <c r="J91" t="s">
        <v>179</v>
      </c>
      <c r="K91">
        <v>0</v>
      </c>
      <c r="L91">
        <v>0</v>
      </c>
      <c r="M91" t="s">
        <v>179</v>
      </c>
      <c r="N91">
        <v>0</v>
      </c>
      <c r="O91">
        <v>0</v>
      </c>
      <c r="P91" t="s">
        <v>179</v>
      </c>
      <c r="Q91">
        <v>0</v>
      </c>
      <c r="R91">
        <v>0</v>
      </c>
      <c r="S91" t="s">
        <v>179</v>
      </c>
      <c r="T91">
        <v>0</v>
      </c>
      <c r="U91">
        <v>0</v>
      </c>
      <c r="V91" t="s">
        <v>179</v>
      </c>
      <c r="W91">
        <v>0</v>
      </c>
      <c r="X91">
        <v>0</v>
      </c>
    </row>
    <row r="92" spans="2:24">
      <c r="B92">
        <v>234</v>
      </c>
      <c r="C92" s="13">
        <v>45349</v>
      </c>
      <c r="D92">
        <v>3</v>
      </c>
      <c r="E92">
        <v>119</v>
      </c>
      <c r="F92">
        <v>840</v>
      </c>
      <c r="G92" t="s">
        <v>677</v>
      </c>
      <c r="H92">
        <v>133</v>
      </c>
      <c r="I92">
        <v>127</v>
      </c>
      <c r="J92" t="s">
        <v>678</v>
      </c>
      <c r="K92">
        <v>142</v>
      </c>
      <c r="L92">
        <v>136</v>
      </c>
      <c r="M92" t="s">
        <v>679</v>
      </c>
      <c r="N92">
        <v>144</v>
      </c>
      <c r="O92">
        <v>141</v>
      </c>
      <c r="P92" t="s">
        <v>680</v>
      </c>
      <c r="Q92">
        <v>133</v>
      </c>
      <c r="R92">
        <v>127</v>
      </c>
      <c r="S92" t="s">
        <v>681</v>
      </c>
      <c r="T92">
        <v>142</v>
      </c>
      <c r="U92">
        <v>137</v>
      </c>
      <c r="V92" t="s">
        <v>682</v>
      </c>
      <c r="W92">
        <v>146</v>
      </c>
      <c r="X92">
        <v>143</v>
      </c>
    </row>
    <row r="93" spans="2:24">
      <c r="B93">
        <v>235</v>
      </c>
      <c r="C93" s="13">
        <v>45350</v>
      </c>
      <c r="D93">
        <v>3</v>
      </c>
      <c r="E93">
        <v>119</v>
      </c>
      <c r="F93">
        <v>598</v>
      </c>
      <c r="G93" t="s">
        <v>683</v>
      </c>
      <c r="H93">
        <v>123</v>
      </c>
      <c r="I93">
        <v>116</v>
      </c>
      <c r="J93" t="s">
        <v>684</v>
      </c>
      <c r="K93">
        <v>125</v>
      </c>
      <c r="L93">
        <v>118</v>
      </c>
      <c r="M93" t="s">
        <v>179</v>
      </c>
      <c r="N93">
        <v>0</v>
      </c>
      <c r="O93">
        <v>0</v>
      </c>
      <c r="P93" t="s">
        <v>685</v>
      </c>
      <c r="Q93">
        <v>117</v>
      </c>
      <c r="R93">
        <v>109</v>
      </c>
      <c r="S93" t="s">
        <v>686</v>
      </c>
      <c r="T93">
        <v>124</v>
      </c>
      <c r="U93">
        <v>116</v>
      </c>
      <c r="V93" t="s">
        <v>687</v>
      </c>
      <c r="W93">
        <v>109</v>
      </c>
      <c r="X93">
        <v>103</v>
      </c>
    </row>
    <row r="94" spans="2:24">
      <c r="B94">
        <v>236</v>
      </c>
      <c r="C94" s="13">
        <v>45351</v>
      </c>
      <c r="D94">
        <v>3</v>
      </c>
      <c r="E94">
        <v>119</v>
      </c>
      <c r="F94">
        <v>672</v>
      </c>
      <c r="G94" t="s">
        <v>688</v>
      </c>
      <c r="H94">
        <v>116</v>
      </c>
      <c r="I94">
        <v>111</v>
      </c>
      <c r="J94" t="s">
        <v>689</v>
      </c>
      <c r="K94">
        <v>114</v>
      </c>
      <c r="L94">
        <v>109</v>
      </c>
      <c r="M94" t="s">
        <v>690</v>
      </c>
      <c r="N94">
        <v>113</v>
      </c>
      <c r="O94">
        <v>108</v>
      </c>
      <c r="P94" t="s">
        <v>691</v>
      </c>
      <c r="Q94">
        <v>109</v>
      </c>
      <c r="R94">
        <v>103</v>
      </c>
      <c r="S94" t="s">
        <v>692</v>
      </c>
      <c r="T94">
        <v>113</v>
      </c>
      <c r="U94">
        <v>107</v>
      </c>
      <c r="V94" t="s">
        <v>693</v>
      </c>
      <c r="W94">
        <v>107</v>
      </c>
      <c r="X94">
        <v>101</v>
      </c>
    </row>
    <row r="95" spans="2:24">
      <c r="C95" s="13"/>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D17D8-E962-4303-8461-33633F6378BD}">
  <dimension ref="A1:O94"/>
  <sheetViews>
    <sheetView workbookViewId="0"/>
  </sheetViews>
  <sheetFormatPr baseColWidth="10" defaultColWidth="8.83203125" defaultRowHeight="15"/>
  <cols>
    <col min="3" max="3" width="10.5" bestFit="1" customWidth="1"/>
    <col min="7" max="7" width="14.1640625" customWidth="1"/>
    <col min="10" max="10" width="14.33203125" customWidth="1"/>
    <col min="13" max="13" width="14" customWidth="1"/>
  </cols>
  <sheetData>
    <row r="1" spans="1:15" ht="21">
      <c r="A1" t="s">
        <v>270</v>
      </c>
      <c r="G1" s="14" t="str">
        <f>ReadMeFirst!D1&amp;" "&amp;ReadMeFirst!E1</f>
        <v>Data Set B</v>
      </c>
    </row>
    <row r="7" spans="1:15" s="7" customFormat="1" ht="32">
      <c r="B7" t="s">
        <v>271</v>
      </c>
      <c r="C7" s="7" t="s">
        <v>398</v>
      </c>
      <c r="D7" s="7" t="s">
        <v>399</v>
      </c>
      <c r="E7" s="7" t="s">
        <v>400</v>
      </c>
      <c r="F7" s="7" t="s">
        <v>401</v>
      </c>
      <c r="G7" s="7" t="s">
        <v>411</v>
      </c>
      <c r="H7" s="7" t="s">
        <v>412</v>
      </c>
      <c r="I7" s="7" t="s">
        <v>413</v>
      </c>
      <c r="J7" s="7" t="s">
        <v>414</v>
      </c>
      <c r="K7" s="7" t="s">
        <v>415</v>
      </c>
      <c r="L7" s="7" t="s">
        <v>416</v>
      </c>
      <c r="M7" s="7" t="s">
        <v>417</v>
      </c>
      <c r="N7" s="7" t="s">
        <v>418</v>
      </c>
      <c r="O7" s="7" t="s">
        <v>419</v>
      </c>
    </row>
    <row r="8" spans="1:15">
      <c r="B8">
        <v>140</v>
      </c>
      <c r="C8" s="15">
        <v>45323</v>
      </c>
      <c r="D8">
        <v>1</v>
      </c>
      <c r="E8">
        <v>105</v>
      </c>
      <c r="F8">
        <v>194</v>
      </c>
      <c r="G8" t="s">
        <v>694</v>
      </c>
      <c r="H8">
        <v>64</v>
      </c>
      <c r="I8">
        <v>58</v>
      </c>
      <c r="J8" t="s">
        <v>695</v>
      </c>
      <c r="K8">
        <v>65</v>
      </c>
      <c r="L8">
        <v>59</v>
      </c>
      <c r="M8" t="s">
        <v>696</v>
      </c>
      <c r="N8">
        <v>65</v>
      </c>
      <c r="O8">
        <v>59</v>
      </c>
    </row>
    <row r="9" spans="1:15">
      <c r="B9">
        <v>141</v>
      </c>
      <c r="C9" s="15">
        <v>45324</v>
      </c>
      <c r="D9">
        <v>1</v>
      </c>
      <c r="E9">
        <v>105</v>
      </c>
      <c r="F9">
        <v>213</v>
      </c>
      <c r="G9" t="s">
        <v>697</v>
      </c>
      <c r="H9">
        <v>67</v>
      </c>
      <c r="I9">
        <v>60</v>
      </c>
      <c r="J9" t="s">
        <v>698</v>
      </c>
      <c r="K9">
        <v>70</v>
      </c>
      <c r="L9">
        <v>64</v>
      </c>
      <c r="M9" t="s">
        <v>699</v>
      </c>
      <c r="N9">
        <v>76</v>
      </c>
      <c r="O9">
        <v>69</v>
      </c>
    </row>
    <row r="10" spans="1:15">
      <c r="B10">
        <v>142</v>
      </c>
      <c r="C10" s="15">
        <v>45325</v>
      </c>
      <c r="D10">
        <v>1</v>
      </c>
      <c r="E10">
        <v>105</v>
      </c>
      <c r="F10">
        <v>259</v>
      </c>
      <c r="G10" t="s">
        <v>700</v>
      </c>
      <c r="H10">
        <v>83</v>
      </c>
      <c r="I10">
        <v>80</v>
      </c>
      <c r="J10" t="s">
        <v>701</v>
      </c>
      <c r="K10">
        <v>88</v>
      </c>
      <c r="L10">
        <v>82</v>
      </c>
      <c r="M10" t="s">
        <v>702</v>
      </c>
      <c r="N10">
        <v>88</v>
      </c>
      <c r="O10">
        <v>85</v>
      </c>
    </row>
    <row r="11" spans="1:15">
      <c r="B11">
        <v>143</v>
      </c>
      <c r="C11" s="15">
        <v>45326</v>
      </c>
      <c r="D11">
        <v>1</v>
      </c>
      <c r="E11">
        <v>105</v>
      </c>
      <c r="F11">
        <v>101</v>
      </c>
      <c r="G11" t="s">
        <v>703</v>
      </c>
      <c r="H11">
        <v>34</v>
      </c>
      <c r="I11">
        <v>32</v>
      </c>
      <c r="J11" t="s">
        <v>704</v>
      </c>
      <c r="K11">
        <v>32</v>
      </c>
      <c r="L11">
        <v>30</v>
      </c>
      <c r="M11" t="s">
        <v>705</v>
      </c>
      <c r="N11">
        <v>35</v>
      </c>
      <c r="O11">
        <v>33</v>
      </c>
    </row>
    <row r="12" spans="1:15">
      <c r="B12">
        <v>144</v>
      </c>
      <c r="C12" s="15">
        <v>45327</v>
      </c>
      <c r="D12">
        <v>1</v>
      </c>
      <c r="E12">
        <v>105</v>
      </c>
      <c r="F12">
        <v>86</v>
      </c>
      <c r="G12" t="s">
        <v>706</v>
      </c>
      <c r="H12">
        <v>29</v>
      </c>
      <c r="I12">
        <v>28</v>
      </c>
      <c r="J12" t="s">
        <v>707</v>
      </c>
      <c r="K12">
        <v>27</v>
      </c>
      <c r="L12">
        <v>25</v>
      </c>
      <c r="M12" t="s">
        <v>708</v>
      </c>
      <c r="N12">
        <v>30</v>
      </c>
      <c r="O12">
        <v>29</v>
      </c>
    </row>
    <row r="13" spans="1:15">
      <c r="B13">
        <v>145</v>
      </c>
      <c r="C13" s="15">
        <v>45328</v>
      </c>
      <c r="D13">
        <v>1</v>
      </c>
      <c r="E13">
        <v>105</v>
      </c>
      <c r="F13">
        <v>181</v>
      </c>
      <c r="G13" t="s">
        <v>709</v>
      </c>
      <c r="H13">
        <v>95</v>
      </c>
      <c r="I13">
        <v>88</v>
      </c>
      <c r="J13" t="s">
        <v>179</v>
      </c>
      <c r="K13">
        <v>0</v>
      </c>
      <c r="L13">
        <v>0</v>
      </c>
      <c r="M13" t="s">
        <v>710</v>
      </c>
      <c r="N13">
        <v>86</v>
      </c>
      <c r="O13">
        <v>80</v>
      </c>
    </row>
    <row r="14" spans="1:15">
      <c r="B14">
        <v>146</v>
      </c>
      <c r="C14" s="15">
        <v>45329</v>
      </c>
      <c r="D14">
        <v>1</v>
      </c>
      <c r="E14">
        <v>105</v>
      </c>
      <c r="F14">
        <v>233</v>
      </c>
      <c r="G14" t="s">
        <v>711</v>
      </c>
      <c r="H14">
        <v>77</v>
      </c>
      <c r="I14">
        <v>71</v>
      </c>
      <c r="J14" t="s">
        <v>712</v>
      </c>
      <c r="K14">
        <v>79</v>
      </c>
      <c r="L14">
        <v>73</v>
      </c>
      <c r="M14" t="s">
        <v>713</v>
      </c>
      <c r="N14">
        <v>77</v>
      </c>
      <c r="O14">
        <v>70</v>
      </c>
    </row>
    <row r="15" spans="1:15">
      <c r="B15">
        <v>147</v>
      </c>
      <c r="C15" s="15">
        <v>45330</v>
      </c>
      <c r="D15">
        <v>1</v>
      </c>
      <c r="E15">
        <v>105</v>
      </c>
      <c r="F15">
        <v>203</v>
      </c>
      <c r="G15" t="s">
        <v>714</v>
      </c>
      <c r="H15">
        <v>64</v>
      </c>
      <c r="I15">
        <v>62</v>
      </c>
      <c r="J15" t="s">
        <v>715</v>
      </c>
      <c r="K15">
        <v>68</v>
      </c>
      <c r="L15">
        <v>65</v>
      </c>
      <c r="M15" t="s">
        <v>716</v>
      </c>
      <c r="N15">
        <v>71</v>
      </c>
      <c r="O15">
        <v>68</v>
      </c>
    </row>
    <row r="16" spans="1:15">
      <c r="B16">
        <v>148</v>
      </c>
      <c r="C16" s="15">
        <v>45331</v>
      </c>
      <c r="D16">
        <v>1</v>
      </c>
      <c r="E16">
        <v>105</v>
      </c>
      <c r="F16">
        <v>216</v>
      </c>
      <c r="G16" t="s">
        <v>717</v>
      </c>
      <c r="H16">
        <v>103</v>
      </c>
      <c r="I16">
        <v>98</v>
      </c>
      <c r="J16" t="s">
        <v>179</v>
      </c>
      <c r="K16">
        <v>0</v>
      </c>
      <c r="L16">
        <v>0</v>
      </c>
      <c r="M16" t="s">
        <v>718</v>
      </c>
      <c r="N16">
        <v>113</v>
      </c>
      <c r="O16">
        <v>108</v>
      </c>
    </row>
    <row r="17" spans="2:15">
      <c r="B17">
        <v>149</v>
      </c>
      <c r="C17" s="15">
        <v>45332</v>
      </c>
      <c r="D17">
        <v>1</v>
      </c>
      <c r="E17">
        <v>105</v>
      </c>
      <c r="F17">
        <v>194</v>
      </c>
      <c r="G17" t="s">
        <v>719</v>
      </c>
      <c r="H17">
        <v>66</v>
      </c>
      <c r="I17">
        <v>63</v>
      </c>
      <c r="J17" t="s">
        <v>720</v>
      </c>
      <c r="K17">
        <v>62</v>
      </c>
      <c r="L17">
        <v>58</v>
      </c>
      <c r="M17" t="s">
        <v>721</v>
      </c>
      <c r="N17">
        <v>66</v>
      </c>
      <c r="O17">
        <v>64</v>
      </c>
    </row>
    <row r="18" spans="2:15">
      <c r="B18">
        <v>150</v>
      </c>
      <c r="C18" s="15">
        <v>45333</v>
      </c>
      <c r="D18">
        <v>1</v>
      </c>
      <c r="E18">
        <v>105</v>
      </c>
      <c r="F18">
        <v>92</v>
      </c>
      <c r="G18" t="s">
        <v>722</v>
      </c>
      <c r="H18">
        <v>29</v>
      </c>
      <c r="I18">
        <v>26</v>
      </c>
      <c r="J18" t="s">
        <v>723</v>
      </c>
      <c r="K18">
        <v>30</v>
      </c>
      <c r="L18">
        <v>28</v>
      </c>
      <c r="M18" t="s">
        <v>724</v>
      </c>
      <c r="N18">
        <v>33</v>
      </c>
      <c r="O18">
        <v>31</v>
      </c>
    </row>
    <row r="19" spans="2:15">
      <c r="B19">
        <v>151</v>
      </c>
      <c r="C19" s="15">
        <v>45334</v>
      </c>
      <c r="D19">
        <v>1</v>
      </c>
      <c r="E19">
        <v>105</v>
      </c>
      <c r="F19">
        <v>91</v>
      </c>
      <c r="G19" t="s">
        <v>725</v>
      </c>
      <c r="H19">
        <v>44</v>
      </c>
      <c r="I19">
        <v>41</v>
      </c>
      <c r="J19" t="s">
        <v>179</v>
      </c>
      <c r="K19">
        <v>0</v>
      </c>
      <c r="L19">
        <v>0</v>
      </c>
      <c r="M19" t="s">
        <v>726</v>
      </c>
      <c r="N19">
        <v>47</v>
      </c>
      <c r="O19">
        <v>46</v>
      </c>
    </row>
    <row r="20" spans="2:15">
      <c r="B20">
        <v>152</v>
      </c>
      <c r="C20" s="15">
        <v>45335</v>
      </c>
      <c r="D20">
        <v>1</v>
      </c>
      <c r="E20">
        <v>105</v>
      </c>
      <c r="F20">
        <v>209</v>
      </c>
      <c r="G20" t="s">
        <v>727</v>
      </c>
      <c r="H20">
        <v>72</v>
      </c>
      <c r="I20">
        <v>68</v>
      </c>
      <c r="J20" t="s">
        <v>728</v>
      </c>
      <c r="K20">
        <v>71</v>
      </c>
      <c r="L20">
        <v>68</v>
      </c>
      <c r="M20" t="s">
        <v>729</v>
      </c>
      <c r="N20">
        <v>66</v>
      </c>
      <c r="O20">
        <v>62</v>
      </c>
    </row>
    <row r="21" spans="2:15">
      <c r="B21">
        <v>153</v>
      </c>
      <c r="C21" s="15">
        <v>45336</v>
      </c>
      <c r="D21">
        <v>1</v>
      </c>
      <c r="E21">
        <v>105</v>
      </c>
      <c r="F21">
        <v>203</v>
      </c>
      <c r="G21" t="s">
        <v>730</v>
      </c>
      <c r="H21">
        <v>71</v>
      </c>
      <c r="I21">
        <v>65</v>
      </c>
      <c r="J21" t="s">
        <v>731</v>
      </c>
      <c r="K21">
        <v>67</v>
      </c>
      <c r="L21">
        <v>60</v>
      </c>
      <c r="M21" t="s">
        <v>732</v>
      </c>
      <c r="N21">
        <v>65</v>
      </c>
      <c r="O21">
        <v>60</v>
      </c>
    </row>
    <row r="22" spans="2:15">
      <c r="B22">
        <v>154</v>
      </c>
      <c r="C22" s="15">
        <v>45337</v>
      </c>
      <c r="D22">
        <v>1</v>
      </c>
      <c r="E22">
        <v>105</v>
      </c>
      <c r="F22">
        <v>187</v>
      </c>
      <c r="G22" t="s">
        <v>733</v>
      </c>
      <c r="H22">
        <v>59</v>
      </c>
      <c r="I22">
        <v>56</v>
      </c>
      <c r="J22" t="s">
        <v>734</v>
      </c>
      <c r="K22">
        <v>64</v>
      </c>
      <c r="L22">
        <v>61</v>
      </c>
      <c r="M22" t="s">
        <v>735</v>
      </c>
      <c r="N22">
        <v>64</v>
      </c>
      <c r="O22">
        <v>62</v>
      </c>
    </row>
    <row r="23" spans="2:15">
      <c r="B23">
        <v>155</v>
      </c>
      <c r="C23" s="15">
        <v>45338</v>
      </c>
      <c r="D23">
        <v>1</v>
      </c>
      <c r="E23">
        <v>105</v>
      </c>
      <c r="F23">
        <v>177</v>
      </c>
      <c r="G23" t="s">
        <v>736</v>
      </c>
      <c r="H23">
        <v>60</v>
      </c>
      <c r="I23">
        <v>58</v>
      </c>
      <c r="J23" t="s">
        <v>737</v>
      </c>
      <c r="K23">
        <v>59</v>
      </c>
      <c r="L23">
        <v>56</v>
      </c>
      <c r="M23" t="s">
        <v>738</v>
      </c>
      <c r="N23">
        <v>58</v>
      </c>
      <c r="O23">
        <v>56</v>
      </c>
    </row>
    <row r="24" spans="2:15">
      <c r="B24">
        <v>156</v>
      </c>
      <c r="C24" s="15">
        <v>45339</v>
      </c>
      <c r="D24">
        <v>1</v>
      </c>
      <c r="E24">
        <v>105</v>
      </c>
      <c r="F24">
        <v>250</v>
      </c>
      <c r="G24" t="s">
        <v>739</v>
      </c>
      <c r="H24">
        <v>79</v>
      </c>
      <c r="I24">
        <v>74</v>
      </c>
      <c r="J24" t="s">
        <v>740</v>
      </c>
      <c r="K24">
        <v>81</v>
      </c>
      <c r="L24">
        <v>76</v>
      </c>
      <c r="M24" t="s">
        <v>741</v>
      </c>
      <c r="N24">
        <v>90</v>
      </c>
      <c r="O24">
        <v>83</v>
      </c>
    </row>
    <row r="25" spans="2:15">
      <c r="B25">
        <v>157</v>
      </c>
      <c r="C25" s="15">
        <v>45340</v>
      </c>
      <c r="D25">
        <v>1</v>
      </c>
      <c r="E25">
        <v>105</v>
      </c>
      <c r="F25">
        <v>124</v>
      </c>
      <c r="G25" t="s">
        <v>742</v>
      </c>
      <c r="H25">
        <v>41</v>
      </c>
      <c r="I25">
        <v>39</v>
      </c>
      <c r="J25" t="s">
        <v>743</v>
      </c>
      <c r="K25">
        <v>41</v>
      </c>
      <c r="L25">
        <v>38</v>
      </c>
      <c r="M25" t="s">
        <v>744</v>
      </c>
      <c r="N25">
        <v>42</v>
      </c>
      <c r="O25">
        <v>39</v>
      </c>
    </row>
    <row r="26" spans="2:15">
      <c r="B26">
        <v>158</v>
      </c>
      <c r="C26" s="15">
        <v>45341</v>
      </c>
      <c r="D26">
        <v>1</v>
      </c>
      <c r="E26">
        <v>105</v>
      </c>
      <c r="F26">
        <v>112</v>
      </c>
      <c r="G26" t="s">
        <v>745</v>
      </c>
      <c r="H26">
        <v>36</v>
      </c>
      <c r="I26">
        <v>32</v>
      </c>
      <c r="J26" t="s">
        <v>746</v>
      </c>
      <c r="K26">
        <v>37</v>
      </c>
      <c r="L26">
        <v>33</v>
      </c>
      <c r="M26" t="s">
        <v>747</v>
      </c>
      <c r="N26">
        <v>39</v>
      </c>
      <c r="O26">
        <v>35</v>
      </c>
    </row>
    <row r="27" spans="2:15">
      <c r="B27">
        <v>159</v>
      </c>
      <c r="C27" s="15">
        <v>45342</v>
      </c>
      <c r="D27">
        <v>1</v>
      </c>
      <c r="E27">
        <v>105</v>
      </c>
      <c r="F27">
        <v>222</v>
      </c>
      <c r="G27" t="s">
        <v>748</v>
      </c>
      <c r="H27">
        <v>73</v>
      </c>
      <c r="I27">
        <v>67</v>
      </c>
      <c r="J27" t="s">
        <v>749</v>
      </c>
      <c r="K27">
        <v>75</v>
      </c>
      <c r="L27">
        <v>70</v>
      </c>
      <c r="M27" t="s">
        <v>750</v>
      </c>
      <c r="N27">
        <v>74</v>
      </c>
      <c r="O27">
        <v>68</v>
      </c>
    </row>
    <row r="28" spans="2:15">
      <c r="B28">
        <v>160</v>
      </c>
      <c r="C28" s="15">
        <v>45343</v>
      </c>
      <c r="D28">
        <v>1</v>
      </c>
      <c r="E28">
        <v>105</v>
      </c>
      <c r="F28">
        <v>226</v>
      </c>
      <c r="G28" t="s">
        <v>751</v>
      </c>
      <c r="H28">
        <v>76</v>
      </c>
      <c r="I28">
        <v>74</v>
      </c>
      <c r="J28" t="s">
        <v>752</v>
      </c>
      <c r="K28">
        <v>76</v>
      </c>
      <c r="L28">
        <v>72</v>
      </c>
      <c r="M28" t="s">
        <v>753</v>
      </c>
      <c r="N28">
        <v>74</v>
      </c>
      <c r="O28">
        <v>71</v>
      </c>
    </row>
    <row r="29" spans="2:15">
      <c r="B29">
        <v>161</v>
      </c>
      <c r="C29" s="15">
        <v>45344</v>
      </c>
      <c r="D29">
        <v>1</v>
      </c>
      <c r="E29">
        <v>105</v>
      </c>
      <c r="F29">
        <v>218</v>
      </c>
      <c r="G29" t="s">
        <v>754</v>
      </c>
      <c r="H29">
        <v>74</v>
      </c>
      <c r="I29">
        <v>70</v>
      </c>
      <c r="J29" t="s">
        <v>755</v>
      </c>
      <c r="K29">
        <v>75</v>
      </c>
      <c r="L29">
        <v>72</v>
      </c>
      <c r="M29" t="s">
        <v>756</v>
      </c>
      <c r="N29">
        <v>69</v>
      </c>
      <c r="O29">
        <v>64</v>
      </c>
    </row>
    <row r="30" spans="2:15">
      <c r="B30">
        <v>162</v>
      </c>
      <c r="C30" s="15">
        <v>45345</v>
      </c>
      <c r="D30">
        <v>1</v>
      </c>
      <c r="E30">
        <v>105</v>
      </c>
      <c r="F30">
        <v>194</v>
      </c>
      <c r="G30" t="s">
        <v>757</v>
      </c>
      <c r="H30">
        <v>61</v>
      </c>
      <c r="I30">
        <v>56</v>
      </c>
      <c r="J30" t="s">
        <v>758</v>
      </c>
      <c r="K30">
        <v>67</v>
      </c>
      <c r="L30">
        <v>60</v>
      </c>
      <c r="M30" t="s">
        <v>759</v>
      </c>
      <c r="N30">
        <v>66</v>
      </c>
      <c r="O30">
        <v>60</v>
      </c>
    </row>
    <row r="31" spans="2:15">
      <c r="B31">
        <v>163</v>
      </c>
      <c r="C31" s="15">
        <v>45346</v>
      </c>
      <c r="D31">
        <v>1</v>
      </c>
      <c r="E31">
        <v>105</v>
      </c>
      <c r="F31">
        <v>252</v>
      </c>
      <c r="G31" t="s">
        <v>760</v>
      </c>
      <c r="H31">
        <v>85</v>
      </c>
      <c r="I31">
        <v>83</v>
      </c>
      <c r="J31" t="s">
        <v>761</v>
      </c>
      <c r="K31">
        <v>84</v>
      </c>
      <c r="L31">
        <v>79</v>
      </c>
      <c r="M31" t="s">
        <v>762</v>
      </c>
      <c r="N31">
        <v>83</v>
      </c>
      <c r="O31">
        <v>80</v>
      </c>
    </row>
    <row r="32" spans="2:15">
      <c r="B32">
        <v>164</v>
      </c>
      <c r="C32" s="15">
        <v>45347</v>
      </c>
      <c r="D32">
        <v>1</v>
      </c>
      <c r="E32">
        <v>105</v>
      </c>
      <c r="F32">
        <v>101</v>
      </c>
      <c r="G32" t="s">
        <v>763</v>
      </c>
      <c r="H32">
        <v>34</v>
      </c>
      <c r="I32">
        <v>32</v>
      </c>
      <c r="J32" t="s">
        <v>764</v>
      </c>
      <c r="K32">
        <v>35</v>
      </c>
      <c r="L32">
        <v>33</v>
      </c>
      <c r="M32" t="s">
        <v>765</v>
      </c>
      <c r="N32">
        <v>32</v>
      </c>
      <c r="O32">
        <v>31</v>
      </c>
    </row>
    <row r="33" spans="2:15">
      <c r="B33">
        <v>165</v>
      </c>
      <c r="C33" s="15">
        <v>45348</v>
      </c>
      <c r="D33">
        <v>1</v>
      </c>
      <c r="E33">
        <v>105</v>
      </c>
      <c r="F33">
        <v>89</v>
      </c>
      <c r="G33" t="s">
        <v>766</v>
      </c>
      <c r="H33">
        <v>29</v>
      </c>
      <c r="I33">
        <v>26</v>
      </c>
      <c r="J33" t="s">
        <v>767</v>
      </c>
      <c r="K33">
        <v>30</v>
      </c>
      <c r="L33">
        <v>27</v>
      </c>
      <c r="M33" t="s">
        <v>768</v>
      </c>
      <c r="N33">
        <v>30</v>
      </c>
      <c r="O33">
        <v>27</v>
      </c>
    </row>
    <row r="34" spans="2:15">
      <c r="B34">
        <v>166</v>
      </c>
      <c r="C34" s="15">
        <v>45349</v>
      </c>
      <c r="D34">
        <v>1</v>
      </c>
      <c r="E34">
        <v>105</v>
      </c>
      <c r="F34">
        <v>211</v>
      </c>
      <c r="G34" t="s">
        <v>769</v>
      </c>
      <c r="H34">
        <v>71</v>
      </c>
      <c r="I34">
        <v>69</v>
      </c>
      <c r="J34" t="s">
        <v>770</v>
      </c>
      <c r="K34">
        <v>73</v>
      </c>
      <c r="L34">
        <v>71</v>
      </c>
      <c r="M34" t="s">
        <v>771</v>
      </c>
      <c r="N34">
        <v>67</v>
      </c>
      <c r="O34">
        <v>64</v>
      </c>
    </row>
    <row r="35" spans="2:15">
      <c r="B35">
        <v>167</v>
      </c>
      <c r="C35" s="15">
        <v>45350</v>
      </c>
      <c r="D35">
        <v>1</v>
      </c>
      <c r="E35">
        <v>105</v>
      </c>
      <c r="F35">
        <v>190</v>
      </c>
      <c r="G35" t="s">
        <v>772</v>
      </c>
      <c r="H35">
        <v>65</v>
      </c>
      <c r="I35">
        <v>59</v>
      </c>
      <c r="J35" t="s">
        <v>773</v>
      </c>
      <c r="K35">
        <v>60</v>
      </c>
      <c r="L35">
        <v>56</v>
      </c>
      <c r="M35" t="s">
        <v>774</v>
      </c>
      <c r="N35">
        <v>65</v>
      </c>
      <c r="O35">
        <v>59</v>
      </c>
    </row>
    <row r="36" spans="2:15">
      <c r="B36">
        <v>168</v>
      </c>
      <c r="C36" s="15">
        <v>45351</v>
      </c>
      <c r="D36">
        <v>1</v>
      </c>
      <c r="E36">
        <v>105</v>
      </c>
      <c r="F36">
        <v>205</v>
      </c>
      <c r="G36" t="s">
        <v>775</v>
      </c>
      <c r="H36">
        <v>71</v>
      </c>
      <c r="I36">
        <v>68</v>
      </c>
      <c r="J36" t="s">
        <v>776</v>
      </c>
      <c r="K36">
        <v>66</v>
      </c>
      <c r="L36">
        <v>64</v>
      </c>
      <c r="M36" t="s">
        <v>777</v>
      </c>
      <c r="N36">
        <v>68</v>
      </c>
      <c r="O36">
        <v>65</v>
      </c>
    </row>
    <row r="37" spans="2:15">
      <c r="B37">
        <v>169</v>
      </c>
      <c r="C37" s="15">
        <v>45323</v>
      </c>
      <c r="D37">
        <v>2</v>
      </c>
      <c r="E37">
        <v>105</v>
      </c>
      <c r="F37">
        <v>166</v>
      </c>
      <c r="G37" t="s">
        <v>778</v>
      </c>
      <c r="H37">
        <v>54</v>
      </c>
      <c r="I37">
        <v>52</v>
      </c>
      <c r="J37" t="s">
        <v>272</v>
      </c>
      <c r="K37">
        <v>52</v>
      </c>
      <c r="L37">
        <v>49</v>
      </c>
      <c r="M37" t="s">
        <v>273</v>
      </c>
      <c r="N37">
        <v>60</v>
      </c>
      <c r="O37">
        <v>58</v>
      </c>
    </row>
    <row r="38" spans="2:15">
      <c r="B38">
        <v>170</v>
      </c>
      <c r="C38" s="15">
        <v>45324</v>
      </c>
      <c r="D38">
        <v>2</v>
      </c>
      <c r="E38">
        <v>105</v>
      </c>
      <c r="F38">
        <v>207</v>
      </c>
      <c r="G38" t="s">
        <v>274</v>
      </c>
      <c r="H38">
        <v>69</v>
      </c>
      <c r="I38">
        <v>64</v>
      </c>
      <c r="J38" t="s">
        <v>779</v>
      </c>
      <c r="K38">
        <v>69</v>
      </c>
      <c r="L38">
        <v>63</v>
      </c>
      <c r="M38" t="s">
        <v>275</v>
      </c>
      <c r="N38">
        <v>69</v>
      </c>
      <c r="O38">
        <v>62</v>
      </c>
    </row>
    <row r="39" spans="2:15">
      <c r="B39">
        <v>171</v>
      </c>
      <c r="C39" s="15">
        <v>45325</v>
      </c>
      <c r="D39">
        <v>2</v>
      </c>
      <c r="E39">
        <v>105</v>
      </c>
      <c r="F39">
        <v>151</v>
      </c>
      <c r="G39" t="s">
        <v>276</v>
      </c>
      <c r="H39">
        <v>52</v>
      </c>
      <c r="I39">
        <v>48</v>
      </c>
      <c r="J39" t="s">
        <v>780</v>
      </c>
      <c r="K39">
        <v>52</v>
      </c>
      <c r="L39">
        <v>47</v>
      </c>
      <c r="M39" t="s">
        <v>277</v>
      </c>
      <c r="N39">
        <v>47</v>
      </c>
      <c r="O39">
        <v>43</v>
      </c>
    </row>
    <row r="40" spans="2:15">
      <c r="B40">
        <v>172</v>
      </c>
      <c r="C40" s="15">
        <v>45326</v>
      </c>
      <c r="D40">
        <v>2</v>
      </c>
      <c r="E40">
        <v>105</v>
      </c>
      <c r="F40">
        <v>76</v>
      </c>
      <c r="G40" t="s">
        <v>781</v>
      </c>
      <c r="H40">
        <v>25</v>
      </c>
      <c r="I40">
        <v>24</v>
      </c>
      <c r="J40" t="s">
        <v>278</v>
      </c>
      <c r="K40">
        <v>24</v>
      </c>
      <c r="L40">
        <v>23</v>
      </c>
      <c r="M40" t="s">
        <v>279</v>
      </c>
      <c r="N40">
        <v>27</v>
      </c>
      <c r="O40">
        <v>26</v>
      </c>
    </row>
    <row r="41" spans="2:15">
      <c r="B41">
        <v>173</v>
      </c>
      <c r="C41" s="15">
        <v>45327</v>
      </c>
      <c r="D41">
        <v>2</v>
      </c>
      <c r="E41">
        <v>105</v>
      </c>
      <c r="F41">
        <v>80</v>
      </c>
      <c r="G41" t="s">
        <v>782</v>
      </c>
      <c r="H41">
        <v>25</v>
      </c>
      <c r="I41">
        <v>24</v>
      </c>
      <c r="J41" t="s">
        <v>280</v>
      </c>
      <c r="K41">
        <v>28</v>
      </c>
      <c r="L41">
        <v>26</v>
      </c>
      <c r="M41" t="s">
        <v>281</v>
      </c>
      <c r="N41">
        <v>27</v>
      </c>
      <c r="O41">
        <v>26</v>
      </c>
    </row>
    <row r="42" spans="2:15">
      <c r="B42">
        <v>174</v>
      </c>
      <c r="C42" s="15">
        <v>45328</v>
      </c>
      <c r="D42">
        <v>2</v>
      </c>
      <c r="E42">
        <v>105</v>
      </c>
      <c r="F42">
        <v>154</v>
      </c>
      <c r="G42" t="s">
        <v>783</v>
      </c>
      <c r="H42">
        <v>53</v>
      </c>
      <c r="I42">
        <v>50</v>
      </c>
      <c r="J42" t="s">
        <v>282</v>
      </c>
      <c r="K42">
        <v>51</v>
      </c>
      <c r="L42">
        <v>49</v>
      </c>
      <c r="M42" t="s">
        <v>283</v>
      </c>
      <c r="N42">
        <v>50</v>
      </c>
      <c r="O42">
        <v>48</v>
      </c>
    </row>
    <row r="43" spans="2:15">
      <c r="B43">
        <v>175</v>
      </c>
      <c r="C43" s="15">
        <v>45329</v>
      </c>
      <c r="D43">
        <v>2</v>
      </c>
      <c r="E43">
        <v>105</v>
      </c>
      <c r="F43">
        <v>207</v>
      </c>
      <c r="G43" t="s">
        <v>284</v>
      </c>
      <c r="H43">
        <v>71</v>
      </c>
      <c r="I43">
        <v>66</v>
      </c>
      <c r="J43" t="s">
        <v>285</v>
      </c>
      <c r="K43">
        <v>66</v>
      </c>
      <c r="L43">
        <v>63</v>
      </c>
      <c r="M43" t="s">
        <v>286</v>
      </c>
      <c r="N43">
        <v>70</v>
      </c>
      <c r="O43">
        <v>65</v>
      </c>
    </row>
    <row r="44" spans="2:15">
      <c r="B44">
        <v>176</v>
      </c>
      <c r="C44" s="15">
        <v>45330</v>
      </c>
      <c r="D44">
        <v>2</v>
      </c>
      <c r="E44">
        <v>105</v>
      </c>
      <c r="F44">
        <v>198</v>
      </c>
      <c r="G44" t="s">
        <v>287</v>
      </c>
      <c r="H44">
        <v>69</v>
      </c>
      <c r="I44">
        <v>63</v>
      </c>
      <c r="J44" t="s">
        <v>784</v>
      </c>
      <c r="K44">
        <v>63</v>
      </c>
      <c r="L44">
        <v>59</v>
      </c>
      <c r="M44" t="s">
        <v>288</v>
      </c>
      <c r="N44">
        <v>66</v>
      </c>
      <c r="O44">
        <v>62</v>
      </c>
    </row>
    <row r="45" spans="2:15">
      <c r="B45">
        <v>177</v>
      </c>
      <c r="C45" s="15">
        <v>45331</v>
      </c>
      <c r="D45">
        <v>2</v>
      </c>
      <c r="E45">
        <v>105</v>
      </c>
      <c r="F45">
        <v>211</v>
      </c>
      <c r="G45" t="s">
        <v>179</v>
      </c>
      <c r="H45">
        <v>0</v>
      </c>
      <c r="I45">
        <v>0</v>
      </c>
      <c r="J45" t="s">
        <v>289</v>
      </c>
      <c r="K45">
        <v>107</v>
      </c>
      <c r="L45">
        <v>97</v>
      </c>
      <c r="M45" t="s">
        <v>290</v>
      </c>
      <c r="N45">
        <v>104</v>
      </c>
      <c r="O45">
        <v>95</v>
      </c>
    </row>
    <row r="46" spans="2:15">
      <c r="B46">
        <v>178</v>
      </c>
      <c r="C46" s="15">
        <v>45332</v>
      </c>
      <c r="D46">
        <v>2</v>
      </c>
      <c r="E46">
        <v>105</v>
      </c>
      <c r="F46">
        <v>181</v>
      </c>
      <c r="G46" t="s">
        <v>291</v>
      </c>
      <c r="H46">
        <v>59</v>
      </c>
      <c r="I46">
        <v>54</v>
      </c>
      <c r="J46" t="s">
        <v>292</v>
      </c>
      <c r="K46">
        <v>60</v>
      </c>
      <c r="L46">
        <v>55</v>
      </c>
      <c r="M46" t="s">
        <v>293</v>
      </c>
      <c r="N46">
        <v>62</v>
      </c>
      <c r="O46">
        <v>58</v>
      </c>
    </row>
    <row r="47" spans="2:15">
      <c r="B47">
        <v>179</v>
      </c>
      <c r="C47" s="15">
        <v>45333</v>
      </c>
      <c r="D47">
        <v>2</v>
      </c>
      <c r="E47">
        <v>105</v>
      </c>
      <c r="F47">
        <v>91</v>
      </c>
      <c r="G47" t="s">
        <v>294</v>
      </c>
      <c r="H47">
        <v>30</v>
      </c>
      <c r="I47">
        <v>28</v>
      </c>
      <c r="J47" t="s">
        <v>295</v>
      </c>
      <c r="K47">
        <v>30</v>
      </c>
      <c r="L47">
        <v>29</v>
      </c>
      <c r="M47" t="s">
        <v>296</v>
      </c>
      <c r="N47">
        <v>31</v>
      </c>
      <c r="O47">
        <v>29</v>
      </c>
    </row>
    <row r="48" spans="2:15">
      <c r="B48">
        <v>180</v>
      </c>
      <c r="C48" s="15">
        <v>45334</v>
      </c>
      <c r="D48">
        <v>2</v>
      </c>
      <c r="E48">
        <v>105</v>
      </c>
      <c r="F48">
        <v>96</v>
      </c>
      <c r="G48" t="s">
        <v>297</v>
      </c>
      <c r="H48">
        <v>32</v>
      </c>
      <c r="I48">
        <v>31</v>
      </c>
      <c r="J48" t="s">
        <v>298</v>
      </c>
      <c r="K48">
        <v>31</v>
      </c>
      <c r="L48">
        <v>29</v>
      </c>
      <c r="M48" t="s">
        <v>299</v>
      </c>
      <c r="N48">
        <v>33</v>
      </c>
      <c r="O48">
        <v>32</v>
      </c>
    </row>
    <row r="49" spans="2:15">
      <c r="B49">
        <v>181</v>
      </c>
      <c r="C49" s="15">
        <v>45335</v>
      </c>
      <c r="D49">
        <v>2</v>
      </c>
      <c r="E49">
        <v>105</v>
      </c>
      <c r="F49">
        <v>183</v>
      </c>
      <c r="G49" t="s">
        <v>300</v>
      </c>
      <c r="H49">
        <v>62</v>
      </c>
      <c r="I49">
        <v>60</v>
      </c>
      <c r="J49" t="s">
        <v>301</v>
      </c>
      <c r="K49">
        <v>61</v>
      </c>
      <c r="L49">
        <v>60</v>
      </c>
      <c r="M49" t="s">
        <v>302</v>
      </c>
      <c r="N49">
        <v>60</v>
      </c>
      <c r="O49">
        <v>57</v>
      </c>
    </row>
    <row r="50" spans="2:15">
      <c r="B50">
        <v>182</v>
      </c>
      <c r="C50" s="15">
        <v>45336</v>
      </c>
      <c r="D50">
        <v>2</v>
      </c>
      <c r="E50">
        <v>105</v>
      </c>
      <c r="F50">
        <v>223</v>
      </c>
      <c r="G50" t="s">
        <v>303</v>
      </c>
      <c r="H50">
        <v>73</v>
      </c>
      <c r="I50">
        <v>70</v>
      </c>
      <c r="J50" t="s">
        <v>304</v>
      </c>
      <c r="K50">
        <v>75</v>
      </c>
      <c r="L50">
        <v>70</v>
      </c>
      <c r="M50" t="s">
        <v>305</v>
      </c>
      <c r="N50">
        <v>75</v>
      </c>
      <c r="O50">
        <v>72</v>
      </c>
    </row>
    <row r="51" spans="2:15">
      <c r="B51">
        <v>183</v>
      </c>
      <c r="C51" s="15">
        <v>45337</v>
      </c>
      <c r="D51">
        <v>2</v>
      </c>
      <c r="E51">
        <v>105</v>
      </c>
      <c r="F51">
        <v>162</v>
      </c>
      <c r="G51" t="s">
        <v>306</v>
      </c>
      <c r="H51">
        <v>51</v>
      </c>
      <c r="I51">
        <v>49</v>
      </c>
      <c r="J51" t="s">
        <v>307</v>
      </c>
      <c r="K51">
        <v>51</v>
      </c>
      <c r="L51">
        <v>48</v>
      </c>
      <c r="M51" t="s">
        <v>308</v>
      </c>
      <c r="N51">
        <v>60</v>
      </c>
      <c r="O51">
        <v>58</v>
      </c>
    </row>
    <row r="52" spans="2:15">
      <c r="B52">
        <v>184</v>
      </c>
      <c r="C52" s="15">
        <v>45338</v>
      </c>
      <c r="D52">
        <v>2</v>
      </c>
      <c r="E52">
        <v>105</v>
      </c>
      <c r="F52">
        <v>175</v>
      </c>
      <c r="G52" t="s">
        <v>309</v>
      </c>
      <c r="H52">
        <v>84</v>
      </c>
      <c r="I52">
        <v>79</v>
      </c>
      <c r="J52" t="s">
        <v>179</v>
      </c>
      <c r="K52">
        <v>0</v>
      </c>
      <c r="L52">
        <v>0</v>
      </c>
      <c r="M52" t="s">
        <v>310</v>
      </c>
      <c r="N52">
        <v>91</v>
      </c>
      <c r="O52">
        <v>87</v>
      </c>
    </row>
    <row r="53" spans="2:15">
      <c r="B53">
        <v>185</v>
      </c>
      <c r="C53" s="15">
        <v>45339</v>
      </c>
      <c r="D53">
        <v>2</v>
      </c>
      <c r="E53">
        <v>105</v>
      </c>
      <c r="F53">
        <v>162</v>
      </c>
      <c r="G53" t="s">
        <v>311</v>
      </c>
      <c r="H53">
        <v>79</v>
      </c>
      <c r="I53">
        <v>72</v>
      </c>
      <c r="J53" t="s">
        <v>179</v>
      </c>
      <c r="K53">
        <v>0</v>
      </c>
      <c r="L53">
        <v>0</v>
      </c>
      <c r="M53" t="s">
        <v>312</v>
      </c>
      <c r="N53">
        <v>83</v>
      </c>
      <c r="O53">
        <v>77</v>
      </c>
    </row>
    <row r="54" spans="2:15">
      <c r="B54">
        <v>186</v>
      </c>
      <c r="C54" s="15">
        <v>45340</v>
      </c>
      <c r="D54">
        <v>2</v>
      </c>
      <c r="E54">
        <v>105</v>
      </c>
      <c r="F54">
        <v>78</v>
      </c>
      <c r="G54" t="s">
        <v>313</v>
      </c>
      <c r="H54">
        <v>38</v>
      </c>
      <c r="I54">
        <v>35</v>
      </c>
      <c r="J54" t="s">
        <v>179</v>
      </c>
      <c r="K54">
        <v>0</v>
      </c>
      <c r="L54">
        <v>0</v>
      </c>
      <c r="M54" t="s">
        <v>314</v>
      </c>
      <c r="N54">
        <v>40</v>
      </c>
      <c r="O54">
        <v>36</v>
      </c>
    </row>
    <row r="55" spans="2:15">
      <c r="B55">
        <v>187</v>
      </c>
      <c r="C55" s="15">
        <v>45341</v>
      </c>
      <c r="D55">
        <v>2</v>
      </c>
      <c r="E55">
        <v>105</v>
      </c>
      <c r="F55">
        <v>91</v>
      </c>
      <c r="G55" t="s">
        <v>315</v>
      </c>
      <c r="H55">
        <v>31</v>
      </c>
      <c r="I55">
        <v>28</v>
      </c>
      <c r="J55" t="s">
        <v>316</v>
      </c>
      <c r="K55">
        <v>30</v>
      </c>
      <c r="L55">
        <v>28</v>
      </c>
      <c r="M55" t="s">
        <v>317</v>
      </c>
      <c r="N55">
        <v>30</v>
      </c>
      <c r="O55">
        <v>28</v>
      </c>
    </row>
    <row r="56" spans="2:15">
      <c r="B56">
        <v>188</v>
      </c>
      <c r="C56" s="15">
        <v>45342</v>
      </c>
      <c r="D56">
        <v>2</v>
      </c>
      <c r="E56">
        <v>105</v>
      </c>
      <c r="F56">
        <v>196</v>
      </c>
      <c r="G56" t="s">
        <v>318</v>
      </c>
      <c r="H56">
        <v>65</v>
      </c>
      <c r="I56">
        <v>63</v>
      </c>
      <c r="J56" t="s">
        <v>785</v>
      </c>
      <c r="K56">
        <v>68</v>
      </c>
      <c r="L56">
        <v>65</v>
      </c>
      <c r="M56" t="s">
        <v>319</v>
      </c>
      <c r="N56">
        <v>63</v>
      </c>
      <c r="O56">
        <v>60</v>
      </c>
    </row>
    <row r="57" spans="2:15">
      <c r="B57">
        <v>189</v>
      </c>
      <c r="C57" s="15">
        <v>45343</v>
      </c>
      <c r="D57">
        <v>2</v>
      </c>
      <c r="E57">
        <v>105</v>
      </c>
      <c r="F57">
        <v>200</v>
      </c>
      <c r="G57" t="s">
        <v>320</v>
      </c>
      <c r="H57">
        <v>66</v>
      </c>
      <c r="I57">
        <v>60</v>
      </c>
      <c r="J57" t="s">
        <v>321</v>
      </c>
      <c r="K57">
        <v>64</v>
      </c>
      <c r="L57">
        <v>60</v>
      </c>
      <c r="M57" t="s">
        <v>322</v>
      </c>
      <c r="N57">
        <v>70</v>
      </c>
      <c r="O57">
        <v>65</v>
      </c>
    </row>
    <row r="58" spans="2:15">
      <c r="B58">
        <v>190</v>
      </c>
      <c r="C58" s="15">
        <v>45344</v>
      </c>
      <c r="D58">
        <v>2</v>
      </c>
      <c r="E58">
        <v>105</v>
      </c>
      <c r="F58">
        <v>204</v>
      </c>
      <c r="G58" t="s">
        <v>323</v>
      </c>
      <c r="H58">
        <v>69</v>
      </c>
      <c r="I58">
        <v>65</v>
      </c>
      <c r="J58" t="s">
        <v>324</v>
      </c>
      <c r="K58">
        <v>67</v>
      </c>
      <c r="L58">
        <v>62</v>
      </c>
      <c r="M58" t="s">
        <v>325</v>
      </c>
      <c r="N58">
        <v>68</v>
      </c>
      <c r="O58">
        <v>64</v>
      </c>
    </row>
    <row r="59" spans="2:15">
      <c r="B59">
        <v>191</v>
      </c>
      <c r="C59" s="15">
        <v>45345</v>
      </c>
      <c r="D59">
        <v>2</v>
      </c>
      <c r="E59">
        <v>105</v>
      </c>
      <c r="F59">
        <v>170</v>
      </c>
      <c r="G59" t="s">
        <v>326</v>
      </c>
      <c r="H59">
        <v>58</v>
      </c>
      <c r="I59">
        <v>54</v>
      </c>
      <c r="J59" t="s">
        <v>327</v>
      </c>
      <c r="K59">
        <v>56</v>
      </c>
      <c r="L59">
        <v>50</v>
      </c>
      <c r="M59" t="s">
        <v>328</v>
      </c>
      <c r="N59">
        <v>56</v>
      </c>
      <c r="O59">
        <v>50</v>
      </c>
    </row>
    <row r="60" spans="2:15">
      <c r="B60">
        <v>192</v>
      </c>
      <c r="C60" s="15">
        <v>45346</v>
      </c>
      <c r="D60">
        <v>2</v>
      </c>
      <c r="E60">
        <v>105</v>
      </c>
      <c r="F60">
        <v>204</v>
      </c>
      <c r="G60" t="s">
        <v>179</v>
      </c>
      <c r="H60">
        <v>0</v>
      </c>
      <c r="I60">
        <v>0</v>
      </c>
      <c r="J60" t="s">
        <v>329</v>
      </c>
      <c r="K60">
        <v>102</v>
      </c>
      <c r="L60">
        <v>95</v>
      </c>
      <c r="M60" t="s">
        <v>330</v>
      </c>
      <c r="N60">
        <v>102</v>
      </c>
      <c r="O60">
        <v>97</v>
      </c>
    </row>
    <row r="61" spans="2:15">
      <c r="B61">
        <v>193</v>
      </c>
      <c r="C61" s="15">
        <v>45347</v>
      </c>
      <c r="D61">
        <v>2</v>
      </c>
      <c r="E61">
        <v>105</v>
      </c>
      <c r="F61">
        <v>69</v>
      </c>
      <c r="G61" t="s">
        <v>786</v>
      </c>
      <c r="H61">
        <v>23</v>
      </c>
      <c r="I61">
        <v>21</v>
      </c>
      <c r="J61" t="s">
        <v>331</v>
      </c>
      <c r="K61">
        <v>23</v>
      </c>
      <c r="L61">
        <v>21</v>
      </c>
      <c r="M61" t="s">
        <v>332</v>
      </c>
      <c r="N61">
        <v>23</v>
      </c>
      <c r="O61">
        <v>21</v>
      </c>
    </row>
    <row r="62" spans="2:15">
      <c r="B62">
        <v>194</v>
      </c>
      <c r="C62" s="15">
        <v>45348</v>
      </c>
      <c r="D62">
        <v>2</v>
      </c>
      <c r="E62">
        <v>105</v>
      </c>
      <c r="F62">
        <v>77</v>
      </c>
      <c r="G62" t="s">
        <v>333</v>
      </c>
      <c r="H62">
        <v>26</v>
      </c>
      <c r="I62">
        <v>23</v>
      </c>
      <c r="J62" t="s">
        <v>334</v>
      </c>
      <c r="K62">
        <v>25</v>
      </c>
      <c r="L62">
        <v>23</v>
      </c>
      <c r="M62" t="s">
        <v>335</v>
      </c>
      <c r="N62">
        <v>26</v>
      </c>
      <c r="O62">
        <v>24</v>
      </c>
    </row>
    <row r="63" spans="2:15">
      <c r="B63">
        <v>195</v>
      </c>
      <c r="C63" s="15">
        <v>45349</v>
      </c>
      <c r="D63">
        <v>2</v>
      </c>
      <c r="E63">
        <v>105</v>
      </c>
      <c r="F63">
        <v>173</v>
      </c>
      <c r="G63" t="s">
        <v>336</v>
      </c>
      <c r="H63">
        <v>58</v>
      </c>
      <c r="I63">
        <v>52</v>
      </c>
      <c r="J63" t="s">
        <v>337</v>
      </c>
      <c r="K63">
        <v>57</v>
      </c>
      <c r="L63">
        <v>53</v>
      </c>
      <c r="M63" t="s">
        <v>338</v>
      </c>
      <c r="N63">
        <v>58</v>
      </c>
      <c r="O63">
        <v>53</v>
      </c>
    </row>
    <row r="64" spans="2:15">
      <c r="B64">
        <v>196</v>
      </c>
      <c r="C64" s="15">
        <v>45350</v>
      </c>
      <c r="D64">
        <v>2</v>
      </c>
      <c r="E64">
        <v>105</v>
      </c>
      <c r="F64">
        <v>166</v>
      </c>
      <c r="G64" t="s">
        <v>179</v>
      </c>
      <c r="H64">
        <v>0</v>
      </c>
      <c r="I64">
        <v>0</v>
      </c>
      <c r="J64" t="s">
        <v>339</v>
      </c>
      <c r="K64">
        <v>84</v>
      </c>
      <c r="L64">
        <v>78</v>
      </c>
      <c r="M64" t="s">
        <v>340</v>
      </c>
      <c r="N64">
        <v>82</v>
      </c>
      <c r="O64">
        <v>78</v>
      </c>
    </row>
    <row r="65" spans="2:15">
      <c r="B65">
        <v>197</v>
      </c>
      <c r="C65" s="15">
        <v>45351</v>
      </c>
      <c r="D65">
        <v>2</v>
      </c>
      <c r="E65">
        <v>105</v>
      </c>
      <c r="F65">
        <v>226</v>
      </c>
      <c r="G65" t="s">
        <v>787</v>
      </c>
      <c r="H65">
        <v>74</v>
      </c>
      <c r="I65">
        <v>72</v>
      </c>
      <c r="J65" t="s">
        <v>341</v>
      </c>
      <c r="K65">
        <v>73</v>
      </c>
      <c r="L65">
        <v>72</v>
      </c>
      <c r="M65" t="s">
        <v>342</v>
      </c>
      <c r="N65">
        <v>79</v>
      </c>
      <c r="O65">
        <v>77</v>
      </c>
    </row>
    <row r="66" spans="2:15">
      <c r="B66">
        <v>198</v>
      </c>
      <c r="C66" s="15">
        <v>45323</v>
      </c>
      <c r="D66">
        <v>3</v>
      </c>
      <c r="E66">
        <v>105</v>
      </c>
      <c r="F66">
        <v>165</v>
      </c>
      <c r="G66" t="s">
        <v>343</v>
      </c>
      <c r="H66">
        <v>56</v>
      </c>
      <c r="I66">
        <v>53</v>
      </c>
      <c r="J66" t="s">
        <v>344</v>
      </c>
      <c r="K66">
        <v>56</v>
      </c>
      <c r="L66">
        <v>53</v>
      </c>
      <c r="M66" t="s">
        <v>345</v>
      </c>
      <c r="N66">
        <v>53</v>
      </c>
      <c r="O66">
        <v>50</v>
      </c>
    </row>
    <row r="67" spans="2:15">
      <c r="B67">
        <v>199</v>
      </c>
      <c r="C67" s="15">
        <v>45324</v>
      </c>
      <c r="D67">
        <v>3</v>
      </c>
      <c r="E67">
        <v>105</v>
      </c>
      <c r="F67">
        <v>163</v>
      </c>
      <c r="G67" t="s">
        <v>346</v>
      </c>
      <c r="H67">
        <v>53</v>
      </c>
      <c r="I67">
        <v>51</v>
      </c>
      <c r="J67" t="s">
        <v>347</v>
      </c>
      <c r="K67">
        <v>54</v>
      </c>
      <c r="L67">
        <v>51</v>
      </c>
      <c r="M67" t="s">
        <v>348</v>
      </c>
      <c r="N67">
        <v>56</v>
      </c>
      <c r="O67">
        <v>54</v>
      </c>
    </row>
    <row r="68" spans="2:15">
      <c r="B68">
        <v>200</v>
      </c>
      <c r="C68" s="15">
        <v>45325</v>
      </c>
      <c r="D68">
        <v>3</v>
      </c>
      <c r="E68">
        <v>105</v>
      </c>
      <c r="F68">
        <v>194</v>
      </c>
      <c r="G68" t="s">
        <v>179</v>
      </c>
      <c r="H68">
        <v>0</v>
      </c>
      <c r="I68">
        <v>0</v>
      </c>
      <c r="J68" t="s">
        <v>788</v>
      </c>
      <c r="K68">
        <v>100</v>
      </c>
      <c r="L68">
        <v>96</v>
      </c>
      <c r="M68" t="s">
        <v>349</v>
      </c>
      <c r="N68">
        <v>94</v>
      </c>
      <c r="O68">
        <v>92</v>
      </c>
    </row>
    <row r="69" spans="2:15">
      <c r="B69">
        <v>201</v>
      </c>
      <c r="C69" s="15">
        <v>45326</v>
      </c>
      <c r="D69">
        <v>3</v>
      </c>
      <c r="E69">
        <v>105</v>
      </c>
      <c r="F69">
        <v>0</v>
      </c>
      <c r="G69" t="s">
        <v>179</v>
      </c>
      <c r="H69">
        <v>0</v>
      </c>
      <c r="I69">
        <v>0</v>
      </c>
      <c r="J69" t="s">
        <v>179</v>
      </c>
      <c r="K69">
        <v>0</v>
      </c>
      <c r="L69">
        <v>0</v>
      </c>
      <c r="M69" t="s">
        <v>179</v>
      </c>
      <c r="N69">
        <v>0</v>
      </c>
      <c r="O69">
        <v>0</v>
      </c>
    </row>
    <row r="70" spans="2:15">
      <c r="B70">
        <v>202</v>
      </c>
      <c r="C70" s="15">
        <v>45327</v>
      </c>
      <c r="D70">
        <v>3</v>
      </c>
      <c r="E70">
        <v>105</v>
      </c>
      <c r="F70">
        <v>0</v>
      </c>
      <c r="G70" t="s">
        <v>179</v>
      </c>
      <c r="H70">
        <v>0</v>
      </c>
      <c r="I70">
        <v>0</v>
      </c>
      <c r="J70" t="s">
        <v>179</v>
      </c>
      <c r="K70">
        <v>0</v>
      </c>
      <c r="L70">
        <v>0</v>
      </c>
      <c r="M70" t="s">
        <v>179</v>
      </c>
      <c r="N70">
        <v>0</v>
      </c>
      <c r="O70">
        <v>0</v>
      </c>
    </row>
    <row r="71" spans="2:15">
      <c r="B71">
        <v>203</v>
      </c>
      <c r="C71" s="15">
        <v>45328</v>
      </c>
      <c r="D71">
        <v>3</v>
      </c>
      <c r="E71">
        <v>105</v>
      </c>
      <c r="F71">
        <v>152</v>
      </c>
      <c r="G71" t="s">
        <v>350</v>
      </c>
      <c r="H71">
        <v>49</v>
      </c>
      <c r="I71">
        <v>47</v>
      </c>
      <c r="J71" t="s">
        <v>351</v>
      </c>
      <c r="K71">
        <v>51</v>
      </c>
      <c r="L71">
        <v>50</v>
      </c>
      <c r="M71" t="s">
        <v>352</v>
      </c>
      <c r="N71">
        <v>52</v>
      </c>
      <c r="O71">
        <v>50</v>
      </c>
    </row>
    <row r="72" spans="2:15">
      <c r="B72">
        <v>204</v>
      </c>
      <c r="C72" s="15">
        <v>45329</v>
      </c>
      <c r="D72">
        <v>3</v>
      </c>
      <c r="E72">
        <v>105</v>
      </c>
      <c r="F72">
        <v>173</v>
      </c>
      <c r="G72" t="s">
        <v>353</v>
      </c>
      <c r="H72">
        <v>59</v>
      </c>
      <c r="I72">
        <v>56</v>
      </c>
      <c r="J72" t="s">
        <v>354</v>
      </c>
      <c r="K72">
        <v>60</v>
      </c>
      <c r="L72">
        <v>57</v>
      </c>
      <c r="M72" t="s">
        <v>355</v>
      </c>
      <c r="N72">
        <v>54</v>
      </c>
      <c r="O72">
        <v>52</v>
      </c>
    </row>
    <row r="73" spans="2:15">
      <c r="B73">
        <v>205</v>
      </c>
      <c r="C73" s="15">
        <v>45330</v>
      </c>
      <c r="D73">
        <v>3</v>
      </c>
      <c r="E73">
        <v>105</v>
      </c>
      <c r="F73">
        <v>183</v>
      </c>
      <c r="G73" t="s">
        <v>356</v>
      </c>
      <c r="H73">
        <v>61</v>
      </c>
      <c r="I73">
        <v>59</v>
      </c>
      <c r="J73" t="s">
        <v>357</v>
      </c>
      <c r="K73">
        <v>62</v>
      </c>
      <c r="L73">
        <v>58</v>
      </c>
      <c r="M73" t="s">
        <v>358</v>
      </c>
      <c r="N73">
        <v>60</v>
      </c>
      <c r="O73">
        <v>57</v>
      </c>
    </row>
    <row r="74" spans="2:15">
      <c r="B74">
        <v>206</v>
      </c>
      <c r="C74" s="15">
        <v>45331</v>
      </c>
      <c r="D74">
        <v>3</v>
      </c>
      <c r="E74">
        <v>105</v>
      </c>
      <c r="F74">
        <v>176</v>
      </c>
      <c r="G74" t="s">
        <v>359</v>
      </c>
      <c r="H74">
        <v>55</v>
      </c>
      <c r="I74">
        <v>54</v>
      </c>
      <c r="J74" t="s">
        <v>360</v>
      </c>
      <c r="K74">
        <v>59</v>
      </c>
      <c r="L74">
        <v>56</v>
      </c>
      <c r="M74" t="s">
        <v>361</v>
      </c>
      <c r="N74">
        <v>62</v>
      </c>
      <c r="O74">
        <v>59</v>
      </c>
    </row>
    <row r="75" spans="2:15">
      <c r="B75">
        <v>207</v>
      </c>
      <c r="C75" s="15">
        <v>45332</v>
      </c>
      <c r="D75">
        <v>3</v>
      </c>
      <c r="E75">
        <v>105</v>
      </c>
      <c r="F75">
        <v>171</v>
      </c>
      <c r="G75" t="s">
        <v>362</v>
      </c>
      <c r="H75">
        <v>56</v>
      </c>
      <c r="I75">
        <v>51</v>
      </c>
      <c r="J75" t="s">
        <v>363</v>
      </c>
      <c r="K75">
        <v>59</v>
      </c>
      <c r="L75">
        <v>55</v>
      </c>
      <c r="M75" t="s">
        <v>364</v>
      </c>
      <c r="N75">
        <v>56</v>
      </c>
      <c r="O75">
        <v>52</v>
      </c>
    </row>
    <row r="76" spans="2:15">
      <c r="B76">
        <v>208</v>
      </c>
      <c r="C76" s="15">
        <v>45333</v>
      </c>
      <c r="D76">
        <v>3</v>
      </c>
      <c r="E76">
        <v>105</v>
      </c>
      <c r="F76">
        <v>0</v>
      </c>
      <c r="G76" t="s">
        <v>179</v>
      </c>
      <c r="H76">
        <v>0</v>
      </c>
      <c r="I76">
        <v>0</v>
      </c>
      <c r="J76" t="s">
        <v>179</v>
      </c>
      <c r="K76">
        <v>0</v>
      </c>
      <c r="L76">
        <v>0</v>
      </c>
      <c r="M76" t="s">
        <v>179</v>
      </c>
      <c r="N76">
        <v>0</v>
      </c>
      <c r="O76">
        <v>0</v>
      </c>
    </row>
    <row r="77" spans="2:15">
      <c r="B77">
        <v>209</v>
      </c>
      <c r="C77" s="15">
        <v>45334</v>
      </c>
      <c r="D77">
        <v>3</v>
      </c>
      <c r="E77">
        <v>105</v>
      </c>
      <c r="F77">
        <v>0</v>
      </c>
      <c r="G77" t="s">
        <v>179</v>
      </c>
      <c r="H77">
        <v>0</v>
      </c>
      <c r="I77">
        <v>0</v>
      </c>
      <c r="J77" t="s">
        <v>179</v>
      </c>
      <c r="K77">
        <v>0</v>
      </c>
      <c r="L77">
        <v>0</v>
      </c>
      <c r="M77" t="s">
        <v>179</v>
      </c>
      <c r="N77">
        <v>0</v>
      </c>
      <c r="O77">
        <v>0</v>
      </c>
    </row>
    <row r="78" spans="2:15">
      <c r="B78">
        <v>210</v>
      </c>
      <c r="C78" s="15">
        <v>45335</v>
      </c>
      <c r="D78">
        <v>3</v>
      </c>
      <c r="E78">
        <v>105</v>
      </c>
      <c r="F78">
        <v>153</v>
      </c>
      <c r="G78" t="s">
        <v>365</v>
      </c>
      <c r="H78">
        <v>52</v>
      </c>
      <c r="I78">
        <v>50</v>
      </c>
      <c r="J78" t="s">
        <v>366</v>
      </c>
      <c r="K78">
        <v>53</v>
      </c>
      <c r="L78">
        <v>51</v>
      </c>
      <c r="M78" t="s">
        <v>367</v>
      </c>
      <c r="N78">
        <v>48</v>
      </c>
      <c r="O78">
        <v>46</v>
      </c>
    </row>
    <row r="79" spans="2:15">
      <c r="B79">
        <v>211</v>
      </c>
      <c r="C79" s="15">
        <v>45336</v>
      </c>
      <c r="D79">
        <v>3</v>
      </c>
      <c r="E79">
        <v>105</v>
      </c>
      <c r="F79">
        <v>153</v>
      </c>
      <c r="G79" t="s">
        <v>368</v>
      </c>
      <c r="H79">
        <v>50</v>
      </c>
      <c r="I79">
        <v>47</v>
      </c>
      <c r="J79" t="s">
        <v>369</v>
      </c>
      <c r="K79">
        <v>53</v>
      </c>
      <c r="L79">
        <v>48</v>
      </c>
      <c r="M79" t="s">
        <v>370</v>
      </c>
      <c r="N79">
        <v>50</v>
      </c>
      <c r="O79">
        <v>45</v>
      </c>
    </row>
    <row r="80" spans="2:15">
      <c r="B80">
        <v>212</v>
      </c>
      <c r="C80" s="15">
        <v>45337</v>
      </c>
      <c r="D80">
        <v>3</v>
      </c>
      <c r="E80">
        <v>105</v>
      </c>
      <c r="F80">
        <v>162</v>
      </c>
      <c r="G80" t="s">
        <v>371</v>
      </c>
      <c r="H80">
        <v>52</v>
      </c>
      <c r="I80">
        <v>50</v>
      </c>
      <c r="J80" t="s">
        <v>372</v>
      </c>
      <c r="K80">
        <v>51</v>
      </c>
      <c r="L80">
        <v>48</v>
      </c>
      <c r="M80" t="s">
        <v>373</v>
      </c>
      <c r="N80">
        <v>59</v>
      </c>
      <c r="O80">
        <v>57</v>
      </c>
    </row>
    <row r="81" spans="2:15">
      <c r="B81">
        <v>213</v>
      </c>
      <c r="C81" s="15">
        <v>45338</v>
      </c>
      <c r="D81">
        <v>3</v>
      </c>
      <c r="E81">
        <v>105</v>
      </c>
      <c r="F81">
        <v>189</v>
      </c>
      <c r="G81" t="s">
        <v>789</v>
      </c>
      <c r="H81">
        <v>64</v>
      </c>
      <c r="I81">
        <v>60</v>
      </c>
      <c r="J81" t="s">
        <v>374</v>
      </c>
      <c r="K81">
        <v>60</v>
      </c>
      <c r="L81">
        <v>58</v>
      </c>
      <c r="M81" t="s">
        <v>375</v>
      </c>
      <c r="N81">
        <v>65</v>
      </c>
      <c r="O81">
        <v>62</v>
      </c>
    </row>
    <row r="82" spans="2:15">
      <c r="B82">
        <v>214</v>
      </c>
      <c r="C82" s="15">
        <v>45339</v>
      </c>
      <c r="D82">
        <v>3</v>
      </c>
      <c r="E82">
        <v>105</v>
      </c>
      <c r="F82">
        <v>140</v>
      </c>
      <c r="G82" t="s">
        <v>790</v>
      </c>
      <c r="H82">
        <v>48</v>
      </c>
      <c r="I82">
        <v>43</v>
      </c>
      <c r="J82" t="s">
        <v>376</v>
      </c>
      <c r="K82">
        <v>45</v>
      </c>
      <c r="L82">
        <v>41</v>
      </c>
      <c r="M82" t="s">
        <v>377</v>
      </c>
      <c r="N82">
        <v>47</v>
      </c>
      <c r="O82">
        <v>43</v>
      </c>
    </row>
    <row r="83" spans="2:15">
      <c r="B83">
        <v>215</v>
      </c>
      <c r="C83" s="15">
        <v>45340</v>
      </c>
      <c r="D83">
        <v>3</v>
      </c>
      <c r="E83">
        <v>105</v>
      </c>
      <c r="F83">
        <v>0</v>
      </c>
      <c r="G83" t="s">
        <v>179</v>
      </c>
      <c r="H83">
        <v>0</v>
      </c>
      <c r="I83">
        <v>0</v>
      </c>
      <c r="J83" t="s">
        <v>179</v>
      </c>
      <c r="K83">
        <v>0</v>
      </c>
      <c r="L83">
        <v>0</v>
      </c>
      <c r="M83" t="s">
        <v>179</v>
      </c>
      <c r="N83">
        <v>0</v>
      </c>
      <c r="O83">
        <v>0</v>
      </c>
    </row>
    <row r="84" spans="2:15">
      <c r="B84">
        <v>216</v>
      </c>
      <c r="C84" s="15">
        <v>45341</v>
      </c>
      <c r="D84">
        <v>3</v>
      </c>
      <c r="E84">
        <v>105</v>
      </c>
      <c r="F84">
        <v>0</v>
      </c>
      <c r="G84" t="s">
        <v>179</v>
      </c>
      <c r="H84">
        <v>0</v>
      </c>
      <c r="I84">
        <v>0</v>
      </c>
      <c r="J84" t="s">
        <v>179</v>
      </c>
      <c r="K84">
        <v>0</v>
      </c>
      <c r="L84">
        <v>0</v>
      </c>
      <c r="M84" t="s">
        <v>179</v>
      </c>
      <c r="N84">
        <v>0</v>
      </c>
      <c r="O84">
        <v>0</v>
      </c>
    </row>
    <row r="85" spans="2:15">
      <c r="B85">
        <v>217</v>
      </c>
      <c r="C85" s="15">
        <v>45342</v>
      </c>
      <c r="D85">
        <v>3</v>
      </c>
      <c r="E85">
        <v>105</v>
      </c>
      <c r="F85">
        <v>136</v>
      </c>
      <c r="G85" t="s">
        <v>378</v>
      </c>
      <c r="H85">
        <v>47</v>
      </c>
      <c r="I85">
        <v>45</v>
      </c>
      <c r="J85" t="s">
        <v>379</v>
      </c>
      <c r="K85">
        <v>45</v>
      </c>
      <c r="L85">
        <v>42</v>
      </c>
      <c r="M85" t="s">
        <v>380</v>
      </c>
      <c r="N85">
        <v>44</v>
      </c>
      <c r="O85">
        <v>42</v>
      </c>
    </row>
    <row r="86" spans="2:15">
      <c r="B86">
        <v>218</v>
      </c>
      <c r="C86" s="15">
        <v>45343</v>
      </c>
      <c r="D86">
        <v>3</v>
      </c>
      <c r="E86">
        <v>105</v>
      </c>
      <c r="F86">
        <v>137</v>
      </c>
      <c r="G86" t="s">
        <v>381</v>
      </c>
      <c r="H86">
        <v>67</v>
      </c>
      <c r="I86">
        <v>62</v>
      </c>
      <c r="J86" t="s">
        <v>179</v>
      </c>
      <c r="K86">
        <v>0</v>
      </c>
      <c r="L86">
        <v>0</v>
      </c>
      <c r="M86" t="s">
        <v>382</v>
      </c>
      <c r="N86">
        <v>70</v>
      </c>
      <c r="O86">
        <v>65</v>
      </c>
    </row>
    <row r="87" spans="2:15">
      <c r="B87">
        <v>219</v>
      </c>
      <c r="C87" s="15">
        <v>45344</v>
      </c>
      <c r="D87">
        <v>3</v>
      </c>
      <c r="E87">
        <v>105</v>
      </c>
      <c r="F87">
        <v>155</v>
      </c>
      <c r="G87" t="s">
        <v>791</v>
      </c>
      <c r="H87">
        <v>49</v>
      </c>
      <c r="I87">
        <v>47</v>
      </c>
      <c r="J87" t="s">
        <v>383</v>
      </c>
      <c r="K87">
        <v>49</v>
      </c>
      <c r="L87">
        <v>48</v>
      </c>
      <c r="M87" t="s">
        <v>384</v>
      </c>
      <c r="N87">
        <v>57</v>
      </c>
      <c r="O87">
        <v>54</v>
      </c>
    </row>
    <row r="88" spans="2:15">
      <c r="B88">
        <v>220</v>
      </c>
      <c r="C88" s="15">
        <v>45345</v>
      </c>
      <c r="D88">
        <v>3</v>
      </c>
      <c r="E88">
        <v>105</v>
      </c>
      <c r="F88">
        <v>178</v>
      </c>
      <c r="G88" t="s">
        <v>385</v>
      </c>
      <c r="H88">
        <v>56</v>
      </c>
      <c r="I88">
        <v>53</v>
      </c>
      <c r="J88" t="s">
        <v>792</v>
      </c>
      <c r="K88">
        <v>61</v>
      </c>
      <c r="L88">
        <v>58</v>
      </c>
      <c r="M88" t="s">
        <v>386</v>
      </c>
      <c r="N88">
        <v>61</v>
      </c>
      <c r="O88">
        <v>59</v>
      </c>
    </row>
    <row r="89" spans="2:15">
      <c r="B89">
        <v>221</v>
      </c>
      <c r="C89" s="15">
        <v>45346</v>
      </c>
      <c r="D89">
        <v>3</v>
      </c>
      <c r="E89">
        <v>105</v>
      </c>
      <c r="F89">
        <v>136</v>
      </c>
      <c r="G89" t="s">
        <v>387</v>
      </c>
      <c r="H89">
        <v>43</v>
      </c>
      <c r="I89">
        <v>40</v>
      </c>
      <c r="J89" t="s">
        <v>388</v>
      </c>
      <c r="K89">
        <v>43</v>
      </c>
      <c r="L89">
        <v>39</v>
      </c>
      <c r="M89" t="s">
        <v>389</v>
      </c>
      <c r="N89">
        <v>50</v>
      </c>
      <c r="O89">
        <v>48</v>
      </c>
    </row>
    <row r="90" spans="2:15">
      <c r="B90">
        <v>222</v>
      </c>
      <c r="C90" s="15">
        <v>45347</v>
      </c>
      <c r="D90">
        <v>3</v>
      </c>
      <c r="E90">
        <v>105</v>
      </c>
      <c r="F90">
        <v>0</v>
      </c>
      <c r="G90" t="s">
        <v>179</v>
      </c>
      <c r="H90">
        <v>0</v>
      </c>
      <c r="I90">
        <v>0</v>
      </c>
      <c r="J90" t="s">
        <v>179</v>
      </c>
      <c r="K90">
        <v>0</v>
      </c>
      <c r="L90">
        <v>0</v>
      </c>
      <c r="M90" t="s">
        <v>179</v>
      </c>
      <c r="N90">
        <v>0</v>
      </c>
      <c r="O90">
        <v>0</v>
      </c>
    </row>
    <row r="91" spans="2:15">
      <c r="B91">
        <v>223</v>
      </c>
      <c r="C91" s="15">
        <v>45348</v>
      </c>
      <c r="D91">
        <v>3</v>
      </c>
      <c r="E91">
        <v>105</v>
      </c>
      <c r="F91">
        <v>0</v>
      </c>
      <c r="G91" t="s">
        <v>179</v>
      </c>
      <c r="H91">
        <v>0</v>
      </c>
      <c r="I91">
        <v>0</v>
      </c>
      <c r="J91" t="s">
        <v>179</v>
      </c>
      <c r="K91">
        <v>0</v>
      </c>
      <c r="L91">
        <v>0</v>
      </c>
      <c r="M91" t="s">
        <v>179</v>
      </c>
      <c r="N91">
        <v>0</v>
      </c>
      <c r="O91">
        <v>0</v>
      </c>
    </row>
    <row r="92" spans="2:15">
      <c r="B92">
        <v>224</v>
      </c>
      <c r="C92" s="15">
        <v>45349</v>
      </c>
      <c r="D92">
        <v>3</v>
      </c>
      <c r="E92">
        <v>105</v>
      </c>
      <c r="F92">
        <v>139</v>
      </c>
      <c r="G92" t="s">
        <v>179</v>
      </c>
      <c r="H92">
        <v>0</v>
      </c>
      <c r="I92">
        <v>0</v>
      </c>
      <c r="J92" t="s">
        <v>390</v>
      </c>
      <c r="K92">
        <v>69</v>
      </c>
      <c r="L92">
        <v>63</v>
      </c>
      <c r="M92" t="s">
        <v>391</v>
      </c>
      <c r="N92">
        <v>70</v>
      </c>
      <c r="O92">
        <v>64</v>
      </c>
    </row>
    <row r="93" spans="2:15">
      <c r="B93">
        <v>225</v>
      </c>
      <c r="C93" s="15">
        <v>45350</v>
      </c>
      <c r="D93">
        <v>3</v>
      </c>
      <c r="E93">
        <v>105</v>
      </c>
      <c r="F93">
        <v>179</v>
      </c>
      <c r="G93" t="s">
        <v>392</v>
      </c>
      <c r="H93">
        <v>62</v>
      </c>
      <c r="I93">
        <v>58</v>
      </c>
      <c r="J93" t="s">
        <v>393</v>
      </c>
      <c r="K93">
        <v>59</v>
      </c>
      <c r="L93">
        <v>55</v>
      </c>
      <c r="M93" t="s">
        <v>394</v>
      </c>
      <c r="N93">
        <v>58</v>
      </c>
      <c r="O93">
        <v>54</v>
      </c>
    </row>
    <row r="94" spans="2:15">
      <c r="B94">
        <v>226</v>
      </c>
      <c r="C94" s="15">
        <v>45351</v>
      </c>
      <c r="D94">
        <v>3</v>
      </c>
      <c r="E94">
        <v>105</v>
      </c>
      <c r="F94">
        <v>134</v>
      </c>
      <c r="G94" t="s">
        <v>395</v>
      </c>
      <c r="H94">
        <v>42</v>
      </c>
      <c r="I94">
        <v>40</v>
      </c>
      <c r="J94" t="s">
        <v>396</v>
      </c>
      <c r="K94">
        <v>44</v>
      </c>
      <c r="L94">
        <v>41</v>
      </c>
      <c r="M94" t="s">
        <v>397</v>
      </c>
      <c r="N94">
        <v>48</v>
      </c>
      <c r="O94">
        <v>46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ReadMeFirst</vt:lpstr>
      <vt:lpstr>Needs+Insights</vt:lpstr>
      <vt:lpstr>5 Why's</vt:lpstr>
      <vt:lpstr>Line B Dataset</vt:lpstr>
      <vt:lpstr>Line B - Shift 3</vt:lpstr>
      <vt:lpstr>Level 0</vt:lpstr>
      <vt:lpstr>Level 1</vt:lpstr>
      <vt:lpstr>Level 2</vt:lpstr>
      <vt:lpstr>Level 3</vt:lpstr>
      <vt:lpstr>Level 4</vt:lpstr>
      <vt:lpstr>Other Lists</vt:lpstr>
      <vt:lpstr>Inspect DM</vt:lpstr>
      <vt:lpstr>A Batches</vt:lpstr>
      <vt:lpstr>B Batches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Nixon</dc:creator>
  <cp:lastModifiedBy>Sakshi Sandeep Salvi</cp:lastModifiedBy>
  <dcterms:created xsi:type="dcterms:W3CDTF">2024-04-02T18:09:52Z</dcterms:created>
  <dcterms:modified xsi:type="dcterms:W3CDTF">2025-08-04T19:49:43Z</dcterms:modified>
</cp:coreProperties>
</file>