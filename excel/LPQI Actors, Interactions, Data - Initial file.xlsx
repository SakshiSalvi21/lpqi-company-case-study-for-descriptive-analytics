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kshisalvi/Library/CloudStorage/OneDrive-ConestogaCollege/Business Analytics/Semester 02/Descriptive Analysis/Case Study 1/"/>
    </mc:Choice>
  </mc:AlternateContent>
  <xr:revisionPtr revIDLastSave="0" documentId="13_ncr:1_{C7E6981E-7282-F741-8798-2E280C1D85DC}" xr6:coauthVersionLast="47" xr6:coauthVersionMax="47" xr10:uidLastSave="{00000000-0000-0000-0000-000000000000}"/>
  <bookViews>
    <workbookView xWindow="0" yWindow="860" windowWidth="34200" windowHeight="20180" activeTab="8" xr2:uid="{C14080CB-3074-44FC-839F-71750B4D98DA}"/>
  </bookViews>
  <sheets>
    <sheet name="ReadMeFirst" sheetId="2" r:id="rId1"/>
    <sheet name="Deliverables" sheetId="3" r:id="rId2"/>
    <sheet name="Actors" sheetId="4" r:id="rId3"/>
    <sheet name="Interactions" sheetId="5" r:id="rId4"/>
    <sheet name="Tablet App" sheetId="10" r:id="rId5"/>
    <sheet name="Data Involved" sheetId="1" r:id="rId6"/>
    <sheet name="Actions" sheetId="7" r:id="rId7"/>
    <sheet name="Risks" sheetId="8" r:id="rId8"/>
    <sheet name="Fishbone Diagram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7" l="1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D27" i="7"/>
  <c r="I43" i="7" s="1"/>
  <c r="D28" i="7"/>
  <c r="I44" i="7" s="1"/>
  <c r="D29" i="7"/>
  <c r="I45" i="7" s="1"/>
  <c r="D30" i="7"/>
  <c r="I46" i="7" s="1"/>
  <c r="D31" i="7"/>
  <c r="I47" i="7" s="1"/>
  <c r="D32" i="7"/>
  <c r="I48" i="7" s="1"/>
  <c r="D33" i="7"/>
  <c r="I49" i="7" s="1"/>
  <c r="D34" i="7"/>
  <c r="I50" i="7" s="1"/>
  <c r="D35" i="7"/>
  <c r="I51" i="7" s="1"/>
  <c r="D36" i="7"/>
  <c r="I52" i="7" s="1"/>
  <c r="D37" i="7"/>
  <c r="I53" i="7" s="1"/>
  <c r="D38" i="7"/>
  <c r="I54" i="7" s="1"/>
  <c r="D39" i="7"/>
  <c r="I55" i="7" s="1"/>
  <c r="D40" i="7"/>
  <c r="I56" i="7" s="1"/>
  <c r="D41" i="7"/>
  <c r="I57" i="7" s="1"/>
  <c r="D42" i="7"/>
  <c r="I58" i="7" s="1"/>
  <c r="E32" i="4" l="1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M49" i="4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9" i="5"/>
  <c r="D5" i="7"/>
  <c r="I25" i="7" s="1"/>
  <c r="H29" i="7"/>
  <c r="D15" i="7"/>
  <c r="D16" i="7"/>
  <c r="D17" i="7"/>
  <c r="D18" i="7"/>
  <c r="D19" i="7"/>
  <c r="D20" i="7"/>
  <c r="D21" i="7"/>
  <c r="D22" i="7"/>
  <c r="D23" i="7"/>
  <c r="D24" i="7"/>
  <c r="D25" i="7"/>
  <c r="I41" i="7" s="1"/>
  <c r="D26" i="7"/>
  <c r="I42" i="7" s="1"/>
  <c r="D14" i="7"/>
  <c r="I30" i="7" s="1"/>
  <c r="F15" i="7"/>
  <c r="F16" i="7"/>
  <c r="F17" i="7"/>
  <c r="F18" i="7"/>
  <c r="F19" i="7"/>
  <c r="F20" i="7"/>
  <c r="F21" i="7"/>
  <c r="F22" i="7"/>
  <c r="F23" i="7"/>
  <c r="F24" i="7"/>
  <c r="F25" i="7"/>
  <c r="F26" i="7"/>
  <c r="F14" i="7"/>
  <c r="D3" i="7"/>
  <c r="I22" i="7" s="1"/>
  <c r="I36" i="7" l="1"/>
  <c r="I34" i="7"/>
  <c r="I40" i="7"/>
  <c r="I38" i="7"/>
  <c r="I32" i="7"/>
  <c r="I39" i="7"/>
  <c r="I35" i="7"/>
  <c r="I31" i="7"/>
  <c r="I37" i="7"/>
  <c r="I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bnixon</author>
  </authors>
  <commentList>
    <comment ref="B9" authorId="0" shapeId="0" xr:uid="{818A163B-E0B7-4EFE-A426-5EF1830EA22A}">
      <text>
        <r>
          <rPr>
            <b/>
            <sz val="9"/>
            <color indexed="81"/>
            <rFont val="Tahoma"/>
            <family val="2"/>
          </rPr>
          <t>bnixon:</t>
        </r>
        <r>
          <rPr>
            <sz val="9"/>
            <color indexed="81"/>
            <rFont val="Tahoma"/>
            <family val="2"/>
          </rPr>
          <t xml:space="preserve">
This is optional</t>
        </r>
      </text>
    </comment>
    <comment ref="A15" authorId="0" shapeId="0" xr:uid="{BBCA65B1-2746-4E1C-9634-BB2DAC16A294}">
      <text>
        <r>
          <rPr>
            <b/>
            <sz val="9"/>
            <color rgb="FF000000"/>
            <rFont val="Tahoma"/>
            <family val="2"/>
          </rPr>
          <t>bnixon: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Optional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bnixon</author>
  </authors>
  <commentList>
    <comment ref="A3" authorId="0" shapeId="0" xr:uid="{006A792B-24CB-4230-A632-BBB3688FB5EF}">
      <text>
        <r>
          <rPr>
            <b/>
            <sz val="9"/>
            <color rgb="FF000000"/>
            <rFont val="Tahoma"/>
            <family val="2"/>
          </rPr>
          <t>bnixon: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Optional HyperLink to allow a jump back to the ReadMeFirst sheet - which essentially become an app menu!
</t>
        </r>
      </text>
    </comment>
    <comment ref="G7" authorId="0" shapeId="0" xr:uid="{2915436C-6F06-4A5C-9FC9-8EB64C3BF518}">
      <text>
        <r>
          <rPr>
            <b/>
            <sz val="9"/>
            <color rgb="FF000000"/>
            <rFont val="Tahoma"/>
            <family val="2"/>
          </rPr>
          <t>bnixon: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These are some sample types of Deliverables.  You can create your own.</t>
        </r>
      </text>
    </comment>
    <comment ref="L7" authorId="0" shapeId="0" xr:uid="{9AB18B56-DFC0-4DED-9920-92BF43FC6047}">
      <text>
        <r>
          <rPr>
            <b/>
            <sz val="9"/>
            <color rgb="FF000000"/>
            <rFont val="Tahoma"/>
            <family val="2"/>
          </rPr>
          <t>bnixon: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QC = Quality Cointrol  (Optional)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This records that the work was done and then reviewed for completeness
</t>
        </r>
      </text>
    </comment>
    <comment ref="K8" authorId="0" shapeId="0" xr:uid="{81C5A8BF-6DB8-42B5-986E-6B6876F8E721}">
      <text>
        <r>
          <rPr>
            <b/>
            <sz val="9"/>
            <color rgb="FF000000"/>
            <rFont val="Tahoma"/>
            <family val="2"/>
          </rPr>
          <t>bnixon: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Working on this was done in 2 sessions</t>
        </r>
      </text>
    </comment>
  </commentList>
</comments>
</file>

<file path=xl/sharedStrings.xml><?xml version="1.0" encoding="utf-8"?>
<sst xmlns="http://schemas.openxmlformats.org/spreadsheetml/2006/main" count="841" uniqueCount="449">
  <si>
    <t>Read Me First</t>
  </si>
  <si>
    <t>This Excel Workbook was:</t>
  </si>
  <si>
    <t>Created by:</t>
  </si>
  <si>
    <t>Created for:</t>
  </si>
  <si>
    <t>Created on:</t>
  </si>
  <si>
    <t>Project:</t>
  </si>
  <si>
    <t>Possible Consumers of this:</t>
  </si>
  <si>
    <t>Copyright:</t>
  </si>
  <si>
    <t>Assumptions:</t>
  </si>
  <si>
    <t>Document History</t>
  </si>
  <si>
    <t>ID</t>
  </si>
  <si>
    <t>Updated by and on:</t>
  </si>
  <si>
    <t>Published on:</t>
  </si>
  <si>
    <t>Reason(s):</t>
  </si>
  <si>
    <t>Sources and References</t>
  </si>
  <si>
    <t>Sheets in this Workbook</t>
  </si>
  <si>
    <t>Sheet Name</t>
  </si>
  <si>
    <t>Description</t>
  </si>
  <si>
    <t>ReadMeFirst</t>
  </si>
  <si>
    <t>Start by Right-Clicking on the Text of the Sheet name.</t>
  </si>
  <si>
    <t>List of Deliverables</t>
  </si>
  <si>
    <t>Date:</t>
  </si>
  <si>
    <t>Author(s):</t>
  </si>
  <si>
    <t>Return to ReadMeFirst</t>
  </si>
  <si>
    <t>Deliverable ID</t>
  </si>
  <si>
    <t>Issue(s)</t>
  </si>
  <si>
    <t>Requirement(s)</t>
  </si>
  <si>
    <t>Deliverable Name</t>
  </si>
  <si>
    <t>Type</t>
  </si>
  <si>
    <t>Started Date</t>
  </si>
  <si>
    <t>Started Time</t>
  </si>
  <si>
    <t>Done Date</t>
  </si>
  <si>
    <t>Done Time</t>
  </si>
  <si>
    <t>QC OK Date</t>
  </si>
  <si>
    <t>QC OK Time</t>
  </si>
  <si>
    <t>Done By</t>
  </si>
  <si>
    <t>QC By</t>
  </si>
  <si>
    <t>Actor ID</t>
  </si>
  <si>
    <t>Name</t>
  </si>
  <si>
    <t>RecordDate</t>
  </si>
  <si>
    <t>Source</t>
  </si>
  <si>
    <t>Conestoga College BA Program, Courses INFO 8136 Case Study 1</t>
  </si>
  <si>
    <t>Case Study 1</t>
  </si>
  <si>
    <t>All Section Members of INFO8136</t>
  </si>
  <si>
    <t>Conestoga College, 2024.  All rights reserved</t>
  </si>
  <si>
    <t>Useage rights granted to registered section members of INFO 8136</t>
  </si>
  <si>
    <t>Case Study #1 Make a Plan. Ver 2.0</t>
  </si>
  <si>
    <t>Various submitted questions from members of W24 Sections 1 and 5</t>
  </si>
  <si>
    <t>Source: INFO8136 Case Study 1 and Associated Rubric</t>
  </si>
  <si>
    <t>Actor Type</t>
  </si>
  <si>
    <t>Note: LPQC = Little Panda Quality Control</t>
  </si>
  <si>
    <t>Jr Data Analyst</t>
  </si>
  <si>
    <t>Sr Data Analyst</t>
  </si>
  <si>
    <t>Prof Bill</t>
  </si>
  <si>
    <t>each section member</t>
  </si>
  <si>
    <t>LPQC Computer Network</t>
  </si>
  <si>
    <t>Inspected Parts - Found OK</t>
  </si>
  <si>
    <t>Inspected Parts - Found NOT OK</t>
  </si>
  <si>
    <t>LPQC Inspector</t>
  </si>
  <si>
    <t>Note:TBI = To Be Inspected</t>
  </si>
  <si>
    <t>Parts TBI</t>
  </si>
  <si>
    <t>from manufacturers</t>
  </si>
  <si>
    <t>Parts Standards</t>
  </si>
  <si>
    <t>Part Element + Metric + Value + Acceptable Deviation</t>
  </si>
  <si>
    <t>Role</t>
  </si>
  <si>
    <t>Computer Network</t>
  </si>
  <si>
    <t>DB Interface Hardware</t>
  </si>
  <si>
    <t>Business Process Objects</t>
  </si>
  <si>
    <t>Business Data</t>
  </si>
  <si>
    <t>** This work is not final **</t>
  </si>
  <si>
    <t>Shipper / Receiver / Porter</t>
  </si>
  <si>
    <t>Day Inspections DB Tables</t>
  </si>
  <si>
    <t>DB Tables</t>
  </si>
  <si>
    <t>Inspectors</t>
  </si>
  <si>
    <t>Parts Standards Tables</t>
  </si>
  <si>
    <t>LPQC Inspection Tablet App</t>
  </si>
  <si>
    <t>DB Tablet App</t>
  </si>
  <si>
    <t>Inspection DB Server</t>
  </si>
  <si>
    <t>DB Server with Database of Tables</t>
  </si>
  <si>
    <t>Parts Standards Interface</t>
  </si>
  <si>
    <t>only used in office</t>
  </si>
  <si>
    <t>DB Workstation App</t>
  </si>
  <si>
    <t>Parts Standards Changes</t>
  </si>
  <si>
    <t>Received from Supplier</t>
  </si>
  <si>
    <t>Day Parts Received and Shipped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</si>
  <si>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</si>
  <si>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</si>
  <si>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</si>
  <si>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</si>
  <si>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</si>
  <si>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</si>
  <si>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</si>
  <si>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</si>
  <si>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</si>
  <si>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</si>
  <si>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</si>
  <si>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</si>
  <si>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Inspection Processes Manager</t>
  </si>
  <si>
    <t>Day Inspections Managing</t>
  </si>
  <si>
    <t>Inspection Lines</t>
  </si>
  <si>
    <t>U</t>
  </si>
  <si>
    <t>V</t>
  </si>
  <si>
    <t>W</t>
  </si>
  <si>
    <t>Work Area</t>
  </si>
  <si>
    <t>X</t>
  </si>
  <si>
    <t>Business Manager Workstations</t>
  </si>
  <si>
    <t>Computer workstations</t>
  </si>
  <si>
    <t>Parts Makers / Customers</t>
  </si>
  <si>
    <t>Y</t>
  </si>
  <si>
    <t>LPQC Inspector App Tablet</t>
  </si>
  <si>
    <t>Customer/Supplier</t>
  </si>
  <si>
    <t>Actors Involved</t>
  </si>
  <si>
    <t>Interaction</t>
  </si>
  <si>
    <t>DB Table</t>
  </si>
  <si>
    <t>Data Element</t>
  </si>
  <si>
    <t>Interaction Name / Unit of Work</t>
  </si>
  <si>
    <t>D</t>
  </si>
  <si>
    <t>Data Type</t>
  </si>
  <si>
    <t>LPQC Interactions</t>
  </si>
  <si>
    <t>LPQC Actors</t>
  </si>
  <si>
    <t>Deliverables</t>
  </si>
  <si>
    <t>Actors</t>
  </si>
  <si>
    <t>Interactions</t>
  </si>
  <si>
    <t>Data Involved in Interactions</t>
  </si>
  <si>
    <t>Visio ID</t>
  </si>
  <si>
    <t>Deliver to Inspection Lines</t>
  </si>
  <si>
    <t>Receive Parts</t>
  </si>
  <si>
    <t>a</t>
  </si>
  <si>
    <t>b</t>
  </si>
  <si>
    <t>c</t>
  </si>
  <si>
    <t>Put Parts TBI on Day Inspection Schedule</t>
  </si>
  <si>
    <t xml:space="preserve">Inspect parts.  Record Data. </t>
  </si>
  <si>
    <t xml:space="preserve"> Sort into Ok and Not OK.</t>
  </si>
  <si>
    <t xml:space="preserve">Send NOT OK parts to ????.  </t>
  </si>
  <si>
    <t>Inspectors Clock IN</t>
  </si>
  <si>
    <t xml:space="preserve">Inspectors Clock Out </t>
  </si>
  <si>
    <t>Inspectors Log IN</t>
  </si>
  <si>
    <t xml:space="preserve">Inspectors Log Out. </t>
  </si>
  <si>
    <t xml:space="preserve">Inspectors Get Tablet </t>
  </si>
  <si>
    <t xml:space="preserve">Inspectors Return Tablet </t>
  </si>
  <si>
    <t>d</t>
  </si>
  <si>
    <t>e</t>
  </si>
  <si>
    <t>f</t>
  </si>
  <si>
    <t>Manage New Sets of Parts Standards Data.</t>
  </si>
  <si>
    <t>Update changes to Already Loaded Parts Data Sets</t>
  </si>
  <si>
    <t>Record Received Parts TBI</t>
  </si>
  <si>
    <t>Data Scope</t>
  </si>
  <si>
    <t>Data Source</t>
  </si>
  <si>
    <t>Primary Key</t>
  </si>
  <si>
    <t>Actions for:</t>
  </si>
  <si>
    <t>Interface Used:</t>
  </si>
  <si>
    <t>Get</t>
  </si>
  <si>
    <t>from</t>
  </si>
  <si>
    <t>A</t>
  </si>
  <si>
    <t>B</t>
  </si>
  <si>
    <t>C</t>
  </si>
  <si>
    <t>Auto Assigned by the LPQI DB Server</t>
  </si>
  <si>
    <t>Action</t>
  </si>
  <si>
    <t>Risk</t>
  </si>
  <si>
    <t>Risks for:</t>
  </si>
  <si>
    <t>N Inspector, Part to be Inspected</t>
  </si>
  <si>
    <t>Risk Details</t>
  </si>
  <si>
    <t>E</t>
  </si>
  <si>
    <t>F</t>
  </si>
  <si>
    <t>I</t>
  </si>
  <si>
    <t>Risk ID</t>
  </si>
  <si>
    <t>Risk Name</t>
  </si>
  <si>
    <t>Risk = What could go wrong?</t>
  </si>
  <si>
    <t>You must create the risks!</t>
  </si>
  <si>
    <t>Below are only samples!</t>
  </si>
  <si>
    <t>Interface Used</t>
  </si>
  <si>
    <t xml:space="preserve">*** See the Visio Diagram. </t>
  </si>
  <si>
    <t>Return OK parts to suppliers.</t>
  </si>
  <si>
    <t>Type Name</t>
  </si>
  <si>
    <t>Actor Types List</t>
  </si>
  <si>
    <t>LPQI Tablet App Interface</t>
  </si>
  <si>
    <t>Sakshi Salvi   (he/him)  Initials: SS</t>
  </si>
  <si>
    <t>None as of 2025 May 28</t>
  </si>
  <si>
    <t>Sakshi Salvi | 28 May, 2025</t>
  </si>
  <si>
    <t>Initial formatting of the document.</t>
  </si>
  <si>
    <t>Actions</t>
  </si>
  <si>
    <t>Risks</t>
  </si>
  <si>
    <t>SS</t>
  </si>
  <si>
    <t>D1</t>
  </si>
  <si>
    <t>Fishbone Diagram</t>
  </si>
  <si>
    <t>Diagram</t>
  </si>
  <si>
    <t>Instructor</t>
  </si>
  <si>
    <t>D2</t>
  </si>
  <si>
    <t>Table</t>
  </si>
  <si>
    <t>D3</t>
  </si>
  <si>
    <t>D4</t>
  </si>
  <si>
    <t>Risk Management Table</t>
  </si>
  <si>
    <t>D5</t>
  </si>
  <si>
    <t>D6</t>
  </si>
  <si>
    <t>D7</t>
  </si>
  <si>
    <t>D8</t>
  </si>
  <si>
    <t>Packaging</t>
  </si>
  <si>
    <t>Inspector Master Table</t>
  </si>
  <si>
    <t>Clock In App</t>
  </si>
  <si>
    <t>Badge System</t>
  </si>
  <si>
    <t>HR Table</t>
  </si>
  <si>
    <t xml:space="preserve">LPQI Data Involved for Interaction 6A </t>
  </si>
  <si>
    <t>6A</t>
  </si>
  <si>
    <t>Inspector's Tablet / Clock In App</t>
  </si>
  <si>
    <t>Clock In Master Table</t>
  </si>
  <si>
    <t>ClockInID</t>
  </si>
  <si>
    <t>INT</t>
  </si>
  <si>
    <t>InspectorID</t>
  </si>
  <si>
    <t>VARCHAR(10)</t>
  </si>
  <si>
    <t>Foreign Key</t>
  </si>
  <si>
    <t>DeviceID</t>
  </si>
  <si>
    <t>VARCHAR(15)</t>
  </si>
  <si>
    <t>Device Master Table</t>
  </si>
  <si>
    <t>SessionID</t>
  </si>
  <si>
    <t>VARCHAR(12)</t>
  </si>
  <si>
    <t>-</t>
  </si>
  <si>
    <t>System</t>
  </si>
  <si>
    <t>RecordCreateDate</t>
  </si>
  <si>
    <t>DATE</t>
  </si>
  <si>
    <t>System Timestamp</t>
  </si>
  <si>
    <t>RecordCreateTime</t>
  </si>
  <si>
    <t>TIME</t>
  </si>
  <si>
    <t>RecordExpireDate</t>
  </si>
  <si>
    <t>DATE(NULLABLE)</t>
  </si>
  <si>
    <t>RecordExpireTime</t>
  </si>
  <si>
    <t>TIME(NULLABLE)</t>
  </si>
  <si>
    <t>ClockInDate</t>
  </si>
  <si>
    <t>ClockInTime</t>
  </si>
  <si>
    <t>ClockOutDate</t>
  </si>
  <si>
    <t>ClockOutTime</t>
  </si>
  <si>
    <t>ClockInType</t>
  </si>
  <si>
    <t>VARCHAR(20)</t>
  </si>
  <si>
    <t>LoginLocation</t>
  </si>
  <si>
    <t>VARCHAR(25)</t>
  </si>
  <si>
    <t>Location Master Table</t>
  </si>
  <si>
    <t>VerificationDeviceType</t>
  </si>
  <si>
    <t>ClockInStatus</t>
  </si>
  <si>
    <t>ClockInFailureReason</t>
  </si>
  <si>
    <t>VARCHAR(50)</t>
  </si>
  <si>
    <t>RetryFlag</t>
  </si>
  <si>
    <t>BOOLEAN</t>
  </si>
  <si>
    <t>ClockInVerificationID</t>
  </si>
  <si>
    <t>Verification Logs</t>
  </si>
  <si>
    <t>VerificationMethod</t>
  </si>
  <si>
    <t>WorkAction</t>
  </si>
  <si>
    <t>ClockInReason</t>
  </si>
  <si>
    <t>VARCHAR(30)</t>
  </si>
  <si>
    <t>VerificationFlag</t>
  </si>
  <si>
    <t>Authentication System</t>
  </si>
  <si>
    <t>InspectorBadgeID</t>
  </si>
  <si>
    <t>PasswordEntered</t>
  </si>
  <si>
    <t>DeviceTrusted</t>
  </si>
  <si>
    <t>Device Config</t>
  </si>
  <si>
    <t>ActiveSessionID</t>
  </si>
  <si>
    <t>Session Logs</t>
  </si>
  <si>
    <t>InspectorLogStatus</t>
  </si>
  <si>
    <t>AttendanceFlag</t>
  </si>
  <si>
    <t>Verification Logs Table</t>
  </si>
  <si>
    <t>Authentication System Table</t>
  </si>
  <si>
    <t>Badge Reader Table</t>
  </si>
  <si>
    <t>Device Config Table</t>
  </si>
  <si>
    <t>Session Logs Table</t>
  </si>
  <si>
    <t>HR Attendance Table</t>
  </si>
  <si>
    <t>O</t>
  </si>
  <si>
    <t>Z</t>
  </si>
  <si>
    <t>AA</t>
  </si>
  <si>
    <t>AB</t>
  </si>
  <si>
    <t>AC</t>
  </si>
  <si>
    <t>1) The inspector must clock in using their personal ID and password through a secure app on the tablet or workstation. Clock-in may occur at any valid terminal within the facility.</t>
  </si>
  <si>
    <t>2) Identity must be confirmed using verification mechanisms such as a swipe card, badge tap, or fob. The system must check credentials before registering the shift start time.</t>
  </si>
  <si>
    <t>Justification</t>
  </si>
  <si>
    <t>Relevance</t>
  </si>
  <si>
    <t>Uniquely identifies each clock-in event</t>
  </si>
  <si>
    <t>Supports traceability and audit trail.</t>
  </si>
  <si>
    <t>Associates entry with a specific user</t>
  </si>
  <si>
    <t>Ensures accountability and validation.</t>
  </si>
  <si>
    <t>Identifies the login device used</t>
  </si>
  <si>
    <t>Helps detect unauthorized access.</t>
  </si>
  <si>
    <t>Connects actions within one session</t>
  </si>
  <si>
    <t>Useful for debugging session activity.</t>
  </si>
  <si>
    <t>Stores the creation date of the record</t>
  </si>
  <si>
    <t>Tracks data lifecycle.</t>
  </si>
  <si>
    <t>Captures exact creation time</t>
  </si>
  <si>
    <t>Aids in audit logging and analysis.</t>
  </si>
  <si>
    <t>Date when record expires</t>
  </si>
  <si>
    <t>Helps schedule clean-up/archive operations.</t>
  </si>
  <si>
    <t>Time when record expires</t>
  </si>
  <si>
    <t>Completes precise expiration timestamp.</t>
  </si>
  <si>
    <t>Shows when shift began</t>
  </si>
  <si>
    <t>Used in attendance and shift calculations.</t>
  </si>
  <si>
    <t>Logs exact clock-in time</t>
  </si>
  <si>
    <t>Used to calculate lateness and payroll.</t>
  </si>
  <si>
    <t>Captures end-of-shift date</t>
  </si>
  <si>
    <t>Enables full-day time span tracking.</t>
  </si>
  <si>
    <t>Logs end-of-shift time</t>
  </si>
  <si>
    <t>Completes work duration data.</t>
  </si>
  <si>
    <t>Describes nature of clock-in</t>
  </si>
  <si>
    <t>Distinguishes full shift vs. post-break entries.</t>
  </si>
  <si>
    <t>Shows if login was successful</t>
  </si>
  <si>
    <t>Helps identify system or user issues.</t>
  </si>
  <si>
    <t>Provides cause of clock-in failure</t>
  </si>
  <si>
    <t>Aids in troubleshooting failed attempts.</t>
  </si>
  <si>
    <t>Indicates retry attempts</t>
  </si>
  <si>
    <t>Reveals potential issues or misuse.</t>
  </si>
  <si>
    <t>Unique log ID for verification</t>
  </si>
  <si>
    <t>Supports traceability of verification process.</t>
  </si>
  <si>
    <t>Specifies how verification occurred</t>
  </si>
  <si>
    <t>Ensures proper security protocols.</t>
  </si>
  <si>
    <t>Defines device class used</t>
  </si>
  <si>
    <t>Verifies allowed device use policy.</t>
  </si>
  <si>
    <t>Identifies where login occurred</t>
  </si>
  <si>
    <t>Ensures login only at permitted zones.</t>
  </si>
  <si>
    <t>Describes the user’s login action</t>
  </si>
  <si>
    <t>Clarifies intent behind login event.</t>
  </si>
  <si>
    <t>Records reason for logging in</t>
  </si>
  <si>
    <t>Useful for special schedule or exceptions.</t>
  </si>
  <si>
    <t>Confirms identity validation</t>
  </si>
  <si>
    <t>Prevents unauthorized clock-ins.</t>
  </si>
  <si>
    <t>ID used for physical verification</t>
  </si>
  <si>
    <t>Links physical badge to digital record.</t>
  </si>
  <si>
    <t>Captures entered password</t>
  </si>
  <si>
    <t>Checks correctness for authentication.</t>
  </si>
  <si>
    <t>Flags device as secure</t>
  </si>
  <si>
    <t>Used to block untrusted or unknown devices.</t>
  </si>
  <si>
    <t>ID of current login session</t>
  </si>
  <si>
    <t>Connects login session to related events.</t>
  </si>
  <si>
    <t>Shows if user is currently logged in</t>
  </si>
  <si>
    <t>Reflects real-time user status.</t>
  </si>
  <si>
    <t>Indicates successful attendance</t>
  </si>
  <si>
    <t>Used by HR/payroll systems.</t>
  </si>
  <si>
    <t>Risk Description</t>
  </si>
  <si>
    <t>R1</t>
  </si>
  <si>
    <t>R2</t>
  </si>
  <si>
    <t>Authentication Failures</t>
  </si>
  <si>
    <t>R3</t>
  </si>
  <si>
    <t>R4</t>
  </si>
  <si>
    <t>System Failures</t>
  </si>
  <si>
    <t>R5</t>
  </si>
  <si>
    <t>User Errors</t>
  </si>
  <si>
    <t>R6</t>
  </si>
  <si>
    <t>Audit &amp; Security Gaps</t>
  </si>
  <si>
    <t>R7</t>
  </si>
  <si>
    <t>HR Record Errors</t>
  </si>
  <si>
    <t>R4: System Failures</t>
  </si>
  <si>
    <t>R1: Invalid/Missing Data</t>
  </si>
  <si>
    <t>R3: Device/Location Issues</t>
  </si>
  <si>
    <t>R5: User Errors</t>
  </si>
  <si>
    <t>R6: Audit &amp; Security Gaps</t>
  </si>
  <si>
    <t>R2: Authentication Failures</t>
  </si>
  <si>
    <t>R7: HR Record Errors</t>
  </si>
  <si>
    <t>Invalid / Missing Data</t>
  </si>
  <si>
    <t>Fields such as dates, reasons, or IDs are blank, wrongly entered, or not recorded at all.</t>
  </si>
  <si>
    <t>Passwords or verification methods are incorrect or bypassed, leading to unauthorized access.</t>
  </si>
  <si>
    <t>Device / Location Issues</t>
  </si>
  <si>
    <t>Clock-in attempts are made from unauthorized devices or unapproved locations.</t>
  </si>
  <si>
    <t>Errors like timeouts, duplicate IDs, or unresponsive components disrupt clock-in.</t>
  </si>
  <si>
    <t>Inspectors forget to clock out, choose wrong options, or enter incorrect times.</t>
  </si>
  <si>
    <t>Missing logs, cloned badges, or unchanged status compromise system integrity.</t>
  </si>
  <si>
    <t>Attendance is not updated correctly in HR systems, affecting payroll/reporting.</t>
  </si>
  <si>
    <t>Risk Detection</t>
  </si>
  <si>
    <t>Risk Response</t>
  </si>
  <si>
    <t>Risk Mitigate</t>
  </si>
  <si>
    <t>System validates required fields before submission.</t>
  </si>
  <si>
    <t>Block submission and prompt user to complete missing data.</t>
  </si>
  <si>
    <t>Enforce mandatory fields, dropdowns, and pre-filled values.</t>
  </si>
  <si>
    <t>Passwords or verification methods are incorrect or bypassed.</t>
  </si>
  <si>
    <t>Track failed login attempts and invalid credentials.</t>
  </si>
  <si>
    <t>Alert user and restrict access after multiple failures.</t>
  </si>
  <si>
    <t>Clock-in attempts from unauthorized devices or locations.</t>
  </si>
  <si>
    <t>Log device ID and GPS/location at login.</t>
  </si>
  <si>
    <t>Block login from unverified sources; send alert.</t>
  </si>
  <si>
    <t>Whitelist devices and IPs, apply geofencing policies.</t>
  </si>
  <si>
    <t>Timeouts, duplicate IDs, or system lag causes disruption.</t>
  </si>
  <si>
    <t>Log backend failures and retry events.</t>
  </si>
  <si>
    <t>Retry request or route to admin interface.</t>
  </si>
  <si>
    <t>Use reliable ID generation and synchronized system clocks.</t>
  </si>
  <si>
    <t>Users forget to clock out, choose wrong options, or input wrong times.</t>
  </si>
  <si>
    <t>Check session duration and clock-in/out sequence logic.</t>
  </si>
  <si>
    <t>Auto-correct or flag suspicious patterns for review.</t>
  </si>
  <si>
    <t>Provide dropdowns, reminders, and session-based validations.</t>
  </si>
  <si>
    <t>Logs missing, badges cloned, or statuses not updated.</t>
  </si>
  <si>
    <t>Monitor log integrity and session activity reports.</t>
  </si>
  <si>
    <t>Raise flag if log/session data is inconsistent.</t>
  </si>
  <si>
    <t>Tag devices uniquely, log all critical actions, auto-refresh statuses.</t>
  </si>
  <si>
    <t>Attendance not updated correctly in HR tables.</t>
  </si>
  <si>
    <t>Compare clock-in data with HR attendance records daily.</t>
  </si>
  <si>
    <t>Alert HR admin or auto-sync data post-session.</t>
  </si>
  <si>
    <t>Add end-of-day or session-based sync scripts with fallback alerts.</t>
  </si>
  <si>
    <t>SR. No</t>
  </si>
  <si>
    <t>Use 2 Factor Authentication, strong password rules, and login logging.</t>
  </si>
  <si>
    <t>Unclear data flow</t>
  </si>
  <si>
    <t>List actors, actor types, systems</t>
  </si>
  <si>
    <t>Actors Table</t>
  </si>
  <si>
    <t>Detailed roles, hardware/software types, mapped to interaction</t>
  </si>
  <si>
    <t>Sakshi Sandeep Salvi</t>
  </si>
  <si>
    <t>No framework to track login</t>
  </si>
  <si>
    <t>Develop visual diagram with key factors</t>
  </si>
  <si>
    <t>Covers Inspector, Device, System, Location, Auth, Timing branches</t>
  </si>
  <si>
    <t>No clear user interaction plan</t>
  </si>
  <si>
    <t>Map inspector actions to systems</t>
  </si>
  <si>
    <t>Interactions Sheet</t>
  </si>
  <si>
    <t>Includes trigger, input, outcome per interaction</t>
  </si>
  <si>
    <t>Weak field-level design</t>
  </si>
  <si>
    <t>Data Involved</t>
  </si>
  <si>
    <t>Fully defined data model with justification and references</t>
  </si>
  <si>
    <t>Data Model</t>
  </si>
  <si>
    <t>Incomplete action mapping</t>
  </si>
  <si>
    <t>Define verbs for each field</t>
  </si>
  <si>
    <t>Actions Table</t>
  </si>
  <si>
    <t>Maps all data elements to clock-in tasks</t>
  </si>
  <si>
    <t>Missing risk context</t>
  </si>
  <si>
    <t>Link each action to a grouped risk</t>
  </si>
  <si>
    <t>Risk Mapping Table</t>
  </si>
  <si>
    <t>Uses grouped risk categories (R1–R7) for clarity</t>
  </si>
  <si>
    <t>Risk Table</t>
  </si>
  <si>
    <t>Lacking mitigation strategy</t>
  </si>
  <si>
    <t>Define detection, response, mitigation</t>
  </si>
  <si>
    <t>Structured R1–R7 table with 3-part strategy</t>
  </si>
  <si>
    <t>Matrix Table</t>
  </si>
  <si>
    <t>Weak justification for fields</t>
  </si>
  <si>
    <t>Explain each data field’s purpose</t>
  </si>
  <si>
    <t>D9</t>
  </si>
  <si>
    <t>No strategic timeline</t>
  </si>
  <si>
    <t>Consolidate all components</t>
  </si>
  <si>
    <t>Final Submission Package</t>
  </si>
  <si>
    <t>Includes QC, naming, consistency, formatting, author signature</t>
  </si>
  <si>
    <t>Data Involved - Justification and Relevance Column</t>
  </si>
  <si>
    <t>Covers all A–AC fields, split by justification and relevance</t>
  </si>
  <si>
    <t>Define A–AC structure with source, type</t>
  </si>
  <si>
    <t>Sakshi Salvi | 12 June, 2025</t>
  </si>
  <si>
    <t>Sakshi Salvi | 18 June, 2025</t>
  </si>
  <si>
    <t>Updates made to sheets: Data Involved, Actions, Risks, and Fishbone Diagram</t>
  </si>
  <si>
    <t>Midpoint updates to deliverable, data elements, and interactions.</t>
  </si>
  <si>
    <t>INFO8136 Course Slides and Rubric</t>
  </si>
  <si>
    <t>Interaction 3A Fishbone Reference Diagram (PDF from Prof. Bill Nixon, Jun 8, 2024)</t>
  </si>
  <si>
    <t>Workbook overview, history, sources, structure</t>
  </si>
  <si>
    <t>Timeline, responsibilities, work records</t>
  </si>
  <si>
    <t>Roles, actor types, hardware/software assignments</t>
  </si>
  <si>
    <t>Inspector actions, interface logic, input-output mapping</t>
  </si>
  <si>
    <t>Full list of fields (A–AC), metadata, and references</t>
  </si>
  <si>
    <t>Actions tied to each data element (e.g., Get, Enter, Retrieve)</t>
  </si>
  <si>
    <t>Risk descriptions, grouped categories (R1–R7), mitigation strategies</t>
  </si>
  <si>
    <t xml:space="preserve">Visual overview of the data elements and sources </t>
  </si>
  <si>
    <t>Tablet App</t>
  </si>
  <si>
    <t>Interface of the Tablet</t>
  </si>
  <si>
    <t>Finalization of all sheets, QC-reviewed.</t>
  </si>
  <si>
    <t>Sakshi Salvi | 20 June, 2025</t>
  </si>
  <si>
    <t>Sakshi Salvi | 19 June, 2026</t>
  </si>
  <si>
    <t>Fishbone diagram was updated.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</si>
</sst>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164" fontId="0" fillId="0" borderId="0" xfId="0" applyNumberFormat="1" applyAlignment="1">
      <alignment horizontal="left"/>
    </xf>
    <xf numFmtId="0" fontId="5" fillId="0" borderId="0" xfId="0" applyFont="1"/>
    <xf numFmtId="0" fontId="2" fillId="0" borderId="0" xfId="1"/>
    <xf numFmtId="0" fontId="0" fillId="0" borderId="0" xfId="0" applyAlignment="1">
      <alignment wrapText="1"/>
    </xf>
    <xf numFmtId="0" fontId="6" fillId="0" borderId="0" xfId="0" applyFont="1"/>
    <xf numFmtId="0" fontId="9" fillId="0" borderId="0" xfId="0" applyFont="1"/>
    <xf numFmtId="16" fontId="0" fillId="0" borderId="0" xfId="0" applyNumberFormat="1"/>
    <xf numFmtId="0" fontId="5" fillId="0" borderId="0" xfId="0" applyFont="1" applyAlignment="1">
      <alignment wrapText="1"/>
    </xf>
    <xf numFmtId="15" fontId="0" fillId="0" borderId="0" xfId="0" applyNumberFormat="1"/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0" fillId="0" borderId="0" xfId="0" quotePrefix="1" applyAlignment="1">
      <alignment wrapText="1"/>
    </xf>
    <xf numFmtId="0" fontId="14" fillId="0" borderId="0" xfId="0" applyFont="1"/>
    <xf numFmtId="0" fontId="13" fillId="0" borderId="0" xfId="0" applyFont="1"/>
    <xf numFmtId="0" fontId="17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/>
    <xf numFmtId="0" fontId="15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266700</xdr:colOff>
      <xdr:row>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86818-EEA3-A19D-DD68-A8E9CB9D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8640"/>
          <a:ext cx="4533900" cy="6332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371680</xdr:colOff>
      <xdr:row>37</xdr:row>
      <xdr:rowOff>88968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8850CE-B5DF-7596-817B-0DFB8D6B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302" y="191871"/>
          <a:ext cx="7772400" cy="69963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AAEF0-B5E3-7042-9ABC-DA980874B7E9}" name="Table3" displayName="Table3" ref="A3:F10" totalsRowShown="0" headerRowDxfId="7" dataDxfId="6">
  <autoFilter ref="A3:F10" xr:uid="{18AAAEF0-B5E3-7042-9ABC-DA980874B7E9}"/>
  <tableColumns count="6">
    <tableColumn id="1" xr3:uid="{9035C9FD-9686-0F4B-9BB3-B76BCF7ED6E3}" name="SR. No" dataDxfId="5"/>
    <tableColumn id="2" xr3:uid="{08757830-7697-8B4E-AEFF-F734D0FEFA9A}" name="Risk Name" dataDxfId="4"/>
    <tableColumn id="3" xr3:uid="{96033A46-EBEC-DC48-9162-B9858D0411FA}" name="Risk Description" dataDxfId="3"/>
    <tableColumn id="4" xr3:uid="{D97399EF-19F4-8B47-BD83-5FFC50B2E590}" name="Risk Detection" dataDxfId="2"/>
    <tableColumn id="5" xr3:uid="{9A9291F9-2B46-2741-AF5E-34547FDFF78F}" name="Risk Response" dataDxfId="1"/>
    <tableColumn id="6" xr3:uid="{DA26465A-FAFE-8340-9DBC-BFB3889F3A18}" name="Risk Mitig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A78D-FE8C-4214-B6FA-4B3DD5C9473D}">
  <dimension ref="A1:D50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9.33203125" customWidth="1"/>
    <col min="2" max="2" width="24.5" customWidth="1"/>
    <col min="3" max="3" width="58.33203125" customWidth="1"/>
    <col min="4" max="4" width="36.1640625" bestFit="1" customWidth="1"/>
  </cols>
  <sheetData>
    <row r="1" spans="1:4" ht="19" x14ac:dyDescent="0.25">
      <c r="A1" s="1" t="s">
        <v>0</v>
      </c>
    </row>
    <row r="3" spans="1:4" x14ac:dyDescent="0.2">
      <c r="A3" s="2" t="s">
        <v>1</v>
      </c>
    </row>
    <row r="4" spans="1:4" x14ac:dyDescent="0.2">
      <c r="B4" t="s">
        <v>2</v>
      </c>
      <c r="C4" s="3" t="s">
        <v>176</v>
      </c>
    </row>
    <row r="5" spans="1:4" x14ac:dyDescent="0.2">
      <c r="B5" t="s">
        <v>3</v>
      </c>
      <c r="C5" t="s">
        <v>41</v>
      </c>
    </row>
    <row r="6" spans="1:4" x14ac:dyDescent="0.2">
      <c r="B6" t="s">
        <v>4</v>
      </c>
      <c r="C6" s="4">
        <v>45805</v>
      </c>
    </row>
    <row r="7" spans="1:4" x14ac:dyDescent="0.2">
      <c r="B7" t="s">
        <v>5</v>
      </c>
      <c r="C7" s="4" t="s">
        <v>42</v>
      </c>
    </row>
    <row r="8" spans="1:4" x14ac:dyDescent="0.2">
      <c r="B8" t="s">
        <v>6</v>
      </c>
      <c r="C8" t="s">
        <v>43</v>
      </c>
    </row>
    <row r="9" spans="1:4" x14ac:dyDescent="0.2">
      <c r="B9" t="s">
        <v>7</v>
      </c>
      <c r="C9" s="4" t="s">
        <v>44</v>
      </c>
    </row>
    <row r="10" spans="1:4" x14ac:dyDescent="0.2">
      <c r="C10" s="4" t="s">
        <v>45</v>
      </c>
    </row>
    <row r="11" spans="1:4" x14ac:dyDescent="0.2">
      <c r="C11" s="4"/>
    </row>
    <row r="12" spans="1:4" x14ac:dyDescent="0.2">
      <c r="A12" s="2" t="s">
        <v>8</v>
      </c>
    </row>
    <row r="13" spans="1:4" x14ac:dyDescent="0.2">
      <c r="A13">
        <v>1</v>
      </c>
      <c r="B13" s="3" t="s">
        <v>177</v>
      </c>
      <c r="C13" s="3"/>
    </row>
    <row r="14" spans="1:4" x14ac:dyDescent="0.2">
      <c r="C14" s="3"/>
    </row>
    <row r="15" spans="1:4" x14ac:dyDescent="0.2">
      <c r="A15" s="2" t="s">
        <v>9</v>
      </c>
    </row>
    <row r="16" spans="1:4" x14ac:dyDescent="0.2">
      <c r="A16" s="5" t="s">
        <v>10</v>
      </c>
      <c r="B16" s="5" t="s">
        <v>11</v>
      </c>
      <c r="C16" s="5" t="s">
        <v>12</v>
      </c>
      <c r="D16" s="5" t="s">
        <v>13</v>
      </c>
    </row>
    <row r="17" spans="1:4" x14ac:dyDescent="0.2">
      <c r="A17">
        <v>1</v>
      </c>
      <c r="B17" t="s">
        <v>178</v>
      </c>
      <c r="C17" s="12">
        <v>45805</v>
      </c>
      <c r="D17" t="s">
        <v>179</v>
      </c>
    </row>
    <row r="18" spans="1:4" ht="32" x14ac:dyDescent="0.2">
      <c r="A18">
        <v>2</v>
      </c>
      <c r="B18" t="s">
        <v>429</v>
      </c>
      <c r="C18" s="12">
        <v>45820</v>
      </c>
      <c r="D18" s="7" t="s">
        <v>432</v>
      </c>
    </row>
    <row r="19" spans="1:4" ht="32" x14ac:dyDescent="0.2">
      <c r="A19">
        <v>3</v>
      </c>
      <c r="B19" t="s">
        <v>430</v>
      </c>
      <c r="C19" s="12">
        <v>45826</v>
      </c>
      <c r="D19" s="7" t="s">
        <v>431</v>
      </c>
    </row>
    <row r="20" spans="1:4" x14ac:dyDescent="0.2">
      <c r="A20">
        <v>4</v>
      </c>
      <c r="B20" t="s">
        <v>447</v>
      </c>
      <c r="C20" s="12">
        <v>45827</v>
      </c>
      <c r="D20" t="s">
        <v>448</v>
      </c>
    </row>
    <row r="21" spans="1:4" ht="16" x14ac:dyDescent="0.2">
      <c r="A21">
        <v>5</v>
      </c>
      <c r="B21" t="s">
        <v>446</v>
      </c>
      <c r="C21" s="12">
        <v>45828</v>
      </c>
      <c r="D21" s="7" t="s">
        <v>445</v>
      </c>
    </row>
    <row r="23" spans="1:4" x14ac:dyDescent="0.2">
      <c r="A23" s="2" t="s">
        <v>14</v>
      </c>
    </row>
    <row r="24" spans="1:4" x14ac:dyDescent="0.2">
      <c r="A24">
        <v>1</v>
      </c>
      <c r="B24" s="24" t="s">
        <v>46</v>
      </c>
      <c r="C24" s="24"/>
    </row>
    <row r="25" spans="1:4" x14ac:dyDescent="0.2">
      <c r="A25">
        <v>2</v>
      </c>
      <c r="B25" s="24" t="s">
        <v>47</v>
      </c>
      <c r="C25" s="24"/>
    </row>
    <row r="26" spans="1:4" x14ac:dyDescent="0.2">
      <c r="A26">
        <v>3</v>
      </c>
      <c r="B26" s="24" t="s">
        <v>433</v>
      </c>
      <c r="C26" s="24"/>
    </row>
    <row r="27" spans="1:4" x14ac:dyDescent="0.2">
      <c r="A27">
        <v>4</v>
      </c>
      <c r="B27" s="24" t="s">
        <v>434</v>
      </c>
      <c r="C27" s="24"/>
    </row>
    <row r="29" spans="1:4" x14ac:dyDescent="0.2">
      <c r="A29" s="2" t="s">
        <v>15</v>
      </c>
    </row>
    <row r="30" spans="1:4" x14ac:dyDescent="0.2">
      <c r="A30" s="5" t="s">
        <v>10</v>
      </c>
      <c r="B30" s="5" t="s">
        <v>16</v>
      </c>
      <c r="C30" s="5" t="s">
        <v>17</v>
      </c>
    </row>
    <row r="31" spans="1:4" x14ac:dyDescent="0.2">
      <c r="A31">
        <v>1</v>
      </c>
      <c r="B31" s="6" t="s">
        <v>18</v>
      </c>
      <c r="C31" t="s">
        <v>435</v>
      </c>
    </row>
    <row r="32" spans="1:4" x14ac:dyDescent="0.2">
      <c r="A32">
        <v>2</v>
      </c>
      <c r="B32" s="6" t="s">
        <v>120</v>
      </c>
      <c r="C32" t="s">
        <v>436</v>
      </c>
    </row>
    <row r="33" spans="1:3" x14ac:dyDescent="0.2">
      <c r="A33">
        <v>3</v>
      </c>
      <c r="B33" s="6" t="s">
        <v>121</v>
      </c>
      <c r="C33" t="s">
        <v>437</v>
      </c>
    </row>
    <row r="34" spans="1:3" x14ac:dyDescent="0.2">
      <c r="A34">
        <v>4</v>
      </c>
      <c r="B34" s="6" t="s">
        <v>122</v>
      </c>
      <c r="C34" t="s">
        <v>438</v>
      </c>
    </row>
    <row r="35" spans="1:3" x14ac:dyDescent="0.2">
      <c r="A35">
        <v>5</v>
      </c>
      <c r="B35" s="6" t="s">
        <v>443</v>
      </c>
      <c r="C35" t="s">
        <v>444</v>
      </c>
    </row>
    <row r="36" spans="1:3" x14ac:dyDescent="0.2">
      <c r="A36">
        <v>7</v>
      </c>
      <c r="B36" s="6" t="s">
        <v>123</v>
      </c>
      <c r="C36" t="s">
        <v>439</v>
      </c>
    </row>
    <row r="37" spans="1:3" x14ac:dyDescent="0.2">
      <c r="A37">
        <v>8</v>
      </c>
      <c r="B37" s="6" t="s">
        <v>180</v>
      </c>
      <c r="C37" t="s">
        <v>440</v>
      </c>
    </row>
    <row r="38" spans="1:3" x14ac:dyDescent="0.2">
      <c r="A38">
        <v>9</v>
      </c>
      <c r="B38" s="6" t="s">
        <v>181</v>
      </c>
      <c r="C38" t="s">
        <v>441</v>
      </c>
    </row>
    <row r="39" spans="1:3" x14ac:dyDescent="0.2">
      <c r="A39">
        <v>10</v>
      </c>
      <c r="B39" s="6" t="s">
        <v>184</v>
      </c>
      <c r="C39" t="s">
        <v>442</v>
      </c>
    </row>
    <row r="50" spans="2:2" x14ac:dyDescent="0.2">
      <c r="B50" s="8" t="s">
        <v>19</v>
      </c>
    </row>
  </sheetData>
  <mergeCells count="4">
    <mergeCell ref="B24:C24"/>
    <mergeCell ref="B25:C25"/>
    <mergeCell ref="B26:C26"/>
    <mergeCell ref="B27:C27"/>
  </mergeCells>
  <phoneticPr fontId="16" type="noConversion"/>
  <hyperlinks>
    <hyperlink ref="B31" location="ReadMeFirst!A1" display="ReadMeFirst" xr:uid="{2E55759C-3B66-44CA-A671-69FB192B17DE}"/>
    <hyperlink ref="B32" location="Deliverables!A1" display="Deliverables" xr:uid="{5F43162D-9245-074D-974D-CD2FB1628E27}"/>
    <hyperlink ref="B33" location="Actors!A1" display="Actors" xr:uid="{092D97E1-2747-194B-8B5E-D4F68161CAEE}"/>
    <hyperlink ref="B34" location="Interactions!A1" display="Interactions" xr:uid="{F479572F-1BBE-604D-B191-32A74C45C2DF}"/>
    <hyperlink ref="B36" location="'Data Involved'!A1" display="Data Involved in Interactions" xr:uid="{97286A24-13D2-4847-8D3E-D96DE04B57B9}"/>
    <hyperlink ref="B37" location="Actions!A1" display="Actions" xr:uid="{8CEAF78E-3F9D-A940-9FEE-3815EB314CC2}"/>
    <hyperlink ref="B38" location="Risks!A1" display="Risks" xr:uid="{3DFC62A6-2FC9-5D42-A941-ACEAA81B4943}"/>
    <hyperlink ref="B39" location="'Fishbone Diagram'!A1" display="Fishbone Diagram" xr:uid="{010826AF-F1B2-FF42-B09B-F9B3F1F24452}"/>
    <hyperlink ref="B35" location="'Tablet App'!A1" display="Tablet App" xr:uid="{889D24E3-F05A-734B-8F8C-29E98C53535D}"/>
  </hyperlink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53F0-3A88-4C7E-83CD-1CC365AFF7DE}">
  <dimension ref="A1:O16"/>
  <sheetViews>
    <sheetView topLeftCell="C1" workbookViewId="0">
      <selection activeCell="J23" sqref="J23"/>
    </sheetView>
  </sheetViews>
  <sheetFormatPr baseColWidth="10" defaultColWidth="8.83203125" defaultRowHeight="15" x14ac:dyDescent="0.2"/>
  <cols>
    <col min="1" max="1" width="10.5" customWidth="1"/>
    <col min="2" max="2" width="9.33203125" customWidth="1"/>
    <col min="3" max="3" width="35.5" bestFit="1" customWidth="1"/>
    <col min="4" max="4" width="45.1640625" bestFit="1" customWidth="1"/>
    <col min="5" max="5" width="22.5" bestFit="1" customWidth="1"/>
    <col min="6" max="6" width="69.1640625" bestFit="1" customWidth="1"/>
    <col min="7" max="7" width="12" bestFit="1" customWidth="1"/>
    <col min="8" max="8" width="10.1640625" customWidth="1"/>
    <col min="10" max="10" width="10.5" bestFit="1" customWidth="1"/>
    <col min="12" max="12" width="10.1640625" bestFit="1" customWidth="1"/>
    <col min="13" max="13" width="15.33203125" bestFit="1" customWidth="1"/>
    <col min="14" max="14" width="16.5" bestFit="1" customWidth="1"/>
  </cols>
  <sheetData>
    <row r="1" spans="1:15" ht="19" x14ac:dyDescent="0.25">
      <c r="A1" s="9" t="s">
        <v>20</v>
      </c>
      <c r="D1" t="s">
        <v>48</v>
      </c>
      <c r="G1" t="s">
        <v>21</v>
      </c>
      <c r="H1" s="10">
        <v>45805</v>
      </c>
      <c r="J1" t="s">
        <v>22</v>
      </c>
      <c r="K1" t="s">
        <v>182</v>
      </c>
    </row>
    <row r="3" spans="1:15" x14ac:dyDescent="0.2">
      <c r="A3" s="6" t="s">
        <v>23</v>
      </c>
    </row>
    <row r="7" spans="1:15" ht="30.25" customHeight="1" x14ac:dyDescent="0.2">
      <c r="B7" s="11" t="s">
        <v>24</v>
      </c>
      <c r="C7" s="11" t="s">
        <v>25</v>
      </c>
      <c r="D7" s="5" t="s">
        <v>26</v>
      </c>
      <c r="E7" s="11" t="s">
        <v>27</v>
      </c>
      <c r="F7" s="11" t="s">
        <v>17</v>
      </c>
      <c r="G7" s="11" t="s">
        <v>28</v>
      </c>
      <c r="H7" s="11" t="s">
        <v>29</v>
      </c>
      <c r="I7" s="11" t="s">
        <v>30</v>
      </c>
      <c r="J7" s="11" t="s">
        <v>31</v>
      </c>
      <c r="K7" s="11" t="s">
        <v>32</v>
      </c>
      <c r="L7" s="11" t="s">
        <v>33</v>
      </c>
      <c r="M7" s="11" t="s">
        <v>34</v>
      </c>
      <c r="N7" s="11" t="s">
        <v>35</v>
      </c>
      <c r="O7" s="11" t="s">
        <v>36</v>
      </c>
    </row>
    <row r="8" spans="1:15" x14ac:dyDescent="0.2">
      <c r="B8" t="s">
        <v>183</v>
      </c>
      <c r="C8" t="s">
        <v>390</v>
      </c>
      <c r="D8" t="s">
        <v>391</v>
      </c>
      <c r="E8" t="s">
        <v>392</v>
      </c>
      <c r="F8" t="s">
        <v>393</v>
      </c>
      <c r="G8" t="s">
        <v>188</v>
      </c>
      <c r="H8" s="22">
        <v>45807</v>
      </c>
      <c r="I8" s="23">
        <v>0.41666666666666669</v>
      </c>
      <c r="J8" s="22">
        <v>45808</v>
      </c>
      <c r="K8" s="23">
        <v>0.45833333333333331</v>
      </c>
      <c r="L8" s="22">
        <v>45826</v>
      </c>
      <c r="M8" s="23">
        <v>0.75</v>
      </c>
      <c r="N8" t="s">
        <v>394</v>
      </c>
      <c r="O8" t="s">
        <v>186</v>
      </c>
    </row>
    <row r="9" spans="1:15" x14ac:dyDescent="0.2">
      <c r="B9" t="s">
        <v>187</v>
      </c>
      <c r="C9" t="s">
        <v>398</v>
      </c>
      <c r="D9" t="s">
        <v>399</v>
      </c>
      <c r="E9" t="s">
        <v>400</v>
      </c>
      <c r="F9" t="s">
        <v>401</v>
      </c>
      <c r="G9" t="s">
        <v>188</v>
      </c>
      <c r="H9" s="22">
        <v>45809</v>
      </c>
      <c r="I9" s="23">
        <v>0.39583333333333331</v>
      </c>
      <c r="J9" s="22">
        <v>45810</v>
      </c>
      <c r="K9" s="23">
        <v>0.54166666666666663</v>
      </c>
      <c r="L9" s="22">
        <v>45826</v>
      </c>
      <c r="M9" s="23">
        <v>0.75</v>
      </c>
      <c r="N9" t="s">
        <v>394</v>
      </c>
      <c r="O9" t="s">
        <v>186</v>
      </c>
    </row>
    <row r="10" spans="1:15" x14ac:dyDescent="0.2">
      <c r="B10" t="s">
        <v>189</v>
      </c>
      <c r="C10" t="s">
        <v>402</v>
      </c>
      <c r="D10" t="s">
        <v>428</v>
      </c>
      <c r="E10" t="s">
        <v>403</v>
      </c>
      <c r="F10" t="s">
        <v>404</v>
      </c>
      <c r="G10" t="s">
        <v>405</v>
      </c>
      <c r="H10" s="22">
        <v>45811</v>
      </c>
      <c r="I10" s="23">
        <v>0.45833333333333331</v>
      </c>
      <c r="J10" s="22">
        <v>45813</v>
      </c>
      <c r="K10" s="23">
        <v>0.60416666666666663</v>
      </c>
      <c r="L10" s="22">
        <v>45826</v>
      </c>
      <c r="M10" s="23">
        <v>0.75</v>
      </c>
      <c r="N10" t="s">
        <v>394</v>
      </c>
      <c r="O10" t="s">
        <v>186</v>
      </c>
    </row>
    <row r="11" spans="1:15" x14ac:dyDescent="0.2">
      <c r="B11" t="s">
        <v>190</v>
      </c>
      <c r="C11" t="s">
        <v>406</v>
      </c>
      <c r="D11" t="s">
        <v>407</v>
      </c>
      <c r="E11" t="s">
        <v>408</v>
      </c>
      <c r="F11" t="s">
        <v>409</v>
      </c>
      <c r="G11" t="s">
        <v>188</v>
      </c>
      <c r="H11" s="22">
        <v>45814</v>
      </c>
      <c r="I11" s="23">
        <v>0.375</v>
      </c>
      <c r="J11" s="22">
        <v>45815</v>
      </c>
      <c r="K11" s="23">
        <v>0.5</v>
      </c>
      <c r="L11" s="22">
        <v>45826</v>
      </c>
      <c r="M11" s="23">
        <v>0.75</v>
      </c>
      <c r="N11" t="s">
        <v>394</v>
      </c>
      <c r="O11" t="s">
        <v>186</v>
      </c>
    </row>
    <row r="12" spans="1:15" x14ac:dyDescent="0.2">
      <c r="B12" t="s">
        <v>192</v>
      </c>
      <c r="C12" t="s">
        <v>410</v>
      </c>
      <c r="D12" t="s">
        <v>411</v>
      </c>
      <c r="E12" t="s">
        <v>412</v>
      </c>
      <c r="F12" t="s">
        <v>413</v>
      </c>
      <c r="G12" t="s">
        <v>414</v>
      </c>
      <c r="H12" s="22">
        <v>45816</v>
      </c>
      <c r="I12" s="23">
        <v>0.41666666666666669</v>
      </c>
      <c r="J12" s="22">
        <v>45817</v>
      </c>
      <c r="K12" s="23">
        <v>0.5625</v>
      </c>
      <c r="L12" s="22">
        <v>45826</v>
      </c>
      <c r="M12" s="23">
        <v>0.75</v>
      </c>
      <c r="N12" t="s">
        <v>394</v>
      </c>
      <c r="O12" t="s">
        <v>186</v>
      </c>
    </row>
    <row r="13" spans="1:15" x14ac:dyDescent="0.2">
      <c r="B13" t="s">
        <v>193</v>
      </c>
      <c r="C13" t="s">
        <v>415</v>
      </c>
      <c r="D13" t="s">
        <v>416</v>
      </c>
      <c r="E13" t="s">
        <v>191</v>
      </c>
      <c r="F13" t="s">
        <v>417</v>
      </c>
      <c r="G13" t="s">
        <v>418</v>
      </c>
      <c r="H13" s="22">
        <v>45818</v>
      </c>
      <c r="I13" s="23">
        <v>0.47916666666666669</v>
      </c>
      <c r="J13" s="22">
        <v>45819</v>
      </c>
      <c r="K13" s="23">
        <v>0.625</v>
      </c>
      <c r="L13" s="22">
        <v>45826</v>
      </c>
      <c r="M13" s="23">
        <v>0.75</v>
      </c>
      <c r="N13" t="s">
        <v>394</v>
      </c>
      <c r="O13" t="s">
        <v>186</v>
      </c>
    </row>
    <row r="14" spans="1:15" ht="32" x14ac:dyDescent="0.2">
      <c r="B14" t="s">
        <v>194</v>
      </c>
      <c r="C14" t="s">
        <v>419</v>
      </c>
      <c r="D14" t="s">
        <v>420</v>
      </c>
      <c r="E14" s="7" t="s">
        <v>426</v>
      </c>
      <c r="F14" t="s">
        <v>427</v>
      </c>
      <c r="G14" t="s">
        <v>188</v>
      </c>
      <c r="H14" s="22">
        <v>45820</v>
      </c>
      <c r="I14" s="23">
        <v>0.41666666666666669</v>
      </c>
      <c r="J14" s="22">
        <v>45821</v>
      </c>
      <c r="K14" s="23">
        <v>0.5625</v>
      </c>
      <c r="L14" s="22">
        <v>45826</v>
      </c>
      <c r="M14" s="23">
        <v>0.75</v>
      </c>
      <c r="N14" t="s">
        <v>394</v>
      </c>
      <c r="O14" t="s">
        <v>186</v>
      </c>
    </row>
    <row r="15" spans="1:15" x14ac:dyDescent="0.2">
      <c r="B15" t="s">
        <v>195</v>
      </c>
      <c r="C15" t="s">
        <v>395</v>
      </c>
      <c r="D15" t="s">
        <v>396</v>
      </c>
      <c r="E15" t="s">
        <v>184</v>
      </c>
      <c r="F15" t="s">
        <v>397</v>
      </c>
      <c r="G15" t="s">
        <v>185</v>
      </c>
      <c r="H15" s="22">
        <v>45826</v>
      </c>
      <c r="I15" s="23">
        <v>0.375</v>
      </c>
      <c r="J15" s="22">
        <v>45827</v>
      </c>
      <c r="K15" s="23">
        <v>0.52083333333333337</v>
      </c>
      <c r="L15" s="22">
        <v>45827</v>
      </c>
      <c r="M15" s="23">
        <v>0.70833333333333337</v>
      </c>
      <c r="N15" t="s">
        <v>394</v>
      </c>
      <c r="O15" t="s">
        <v>186</v>
      </c>
    </row>
    <row r="16" spans="1:15" x14ac:dyDescent="0.2">
      <c r="B16" t="s">
        <v>421</v>
      </c>
      <c r="C16" t="s">
        <v>422</v>
      </c>
      <c r="D16" t="s">
        <v>423</v>
      </c>
      <c r="E16" t="s">
        <v>424</v>
      </c>
      <c r="F16" t="s">
        <v>425</v>
      </c>
      <c r="G16" t="s">
        <v>196</v>
      </c>
      <c r="H16" s="22">
        <v>45826</v>
      </c>
      <c r="I16" s="23">
        <v>0.45833333333333331</v>
      </c>
      <c r="J16" s="22">
        <v>45828</v>
      </c>
      <c r="K16" s="23">
        <v>0.58333333333333337</v>
      </c>
      <c r="L16" s="22"/>
      <c r="M16" s="23"/>
      <c r="N16" t="s">
        <v>394</v>
      </c>
    </row>
  </sheetData>
  <hyperlinks>
    <hyperlink ref="A3" location="ReadMeFirst!A1" display="Return to ReadMeFirst" xr:uid="{883BD5CA-DB4C-4B6A-B815-5444BFEFCB05}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E4BF-8E73-4226-ADB5-689C3F5B1687}">
  <dimension ref="A1:N49"/>
  <sheetViews>
    <sheetView zoomScale="118" workbookViewId="0">
      <selection activeCell="B37" sqref="B37"/>
    </sheetView>
  </sheetViews>
  <sheetFormatPr baseColWidth="10" defaultColWidth="8.83203125" defaultRowHeight="15" x14ac:dyDescent="0.2"/>
  <cols>
    <col min="1" max="1" width="9.1640625" customWidth="1"/>
    <col min="2" max="2" width="23.5" customWidth="1"/>
    <col min="3" max="3" width="31" bestFit="1" customWidth="1"/>
    <col min="4" max="4" width="28" bestFit="1" customWidth="1"/>
    <col min="5" max="5" width="25" customWidth="1"/>
    <col min="6" max="6" width="22" customWidth="1"/>
    <col min="7" max="7" width="18.6640625" bestFit="1" customWidth="1"/>
    <col min="8" max="8" width="20.33203125" customWidth="1"/>
    <col min="10" max="10" width="26.6640625" bestFit="1" customWidth="1"/>
    <col min="11" max="11" width="41.33203125" bestFit="1" customWidth="1"/>
  </cols>
  <sheetData>
    <row r="1" spans="1:10" ht="24" x14ac:dyDescent="0.3">
      <c r="A1" t="s">
        <v>119</v>
      </c>
      <c r="E1" s="13"/>
    </row>
    <row r="3" spans="1:10" x14ac:dyDescent="0.2">
      <c r="B3" t="s">
        <v>50</v>
      </c>
    </row>
    <row r="4" spans="1:10" x14ac:dyDescent="0.2">
      <c r="B4" t="s">
        <v>59</v>
      </c>
    </row>
    <row r="7" spans="1:10" x14ac:dyDescent="0.2">
      <c r="I7" t="s">
        <v>174</v>
      </c>
    </row>
    <row r="9" spans="1:10" x14ac:dyDescent="0.2">
      <c r="A9" s="5" t="s">
        <v>37</v>
      </c>
      <c r="B9" s="5" t="s">
        <v>38</v>
      </c>
      <c r="C9" s="5" t="s">
        <v>17</v>
      </c>
      <c r="D9" s="5" t="s">
        <v>28</v>
      </c>
      <c r="E9" s="5" t="s">
        <v>173</v>
      </c>
      <c r="F9" s="5" t="s">
        <v>39</v>
      </c>
      <c r="G9" s="5" t="s">
        <v>40</v>
      </c>
      <c r="I9" s="5" t="s">
        <v>10</v>
      </c>
      <c r="J9" s="5" t="s">
        <v>49</v>
      </c>
    </row>
    <row r="10" spans="1:10" x14ac:dyDescent="0.2">
      <c r="A10" t="s">
        <v>153</v>
      </c>
      <c r="B10" t="s">
        <v>51</v>
      </c>
      <c r="C10" t="s">
        <v>54</v>
      </c>
      <c r="D10" t="s">
        <v>153</v>
      </c>
      <c r="E10" t="str">
        <f>VLOOKUP(D10,$I$10:$J$21,2,FALSE)</f>
        <v>Role</v>
      </c>
      <c r="F10" s="12"/>
      <c r="I10" t="s">
        <v>153</v>
      </c>
      <c r="J10" t="s">
        <v>64</v>
      </c>
    </row>
    <row r="11" spans="1:10" x14ac:dyDescent="0.2">
      <c r="A11" t="s">
        <v>154</v>
      </c>
      <c r="B11" t="s">
        <v>52</v>
      </c>
      <c r="C11" t="s">
        <v>53</v>
      </c>
      <c r="D11" t="s">
        <v>153</v>
      </c>
      <c r="E11" t="str">
        <f t="shared" ref="E11:E32" si="0">VLOOKUP(D11,$I$10:$J$21,2,FALSE)</f>
        <v>Role</v>
      </c>
      <c r="F11" s="12"/>
      <c r="I11" t="s">
        <v>154</v>
      </c>
      <c r="J11" t="s">
        <v>65</v>
      </c>
    </row>
    <row r="12" spans="1:10" ht="16" x14ac:dyDescent="0.2">
      <c r="A12" t="s">
        <v>155</v>
      </c>
      <c r="B12" s="7" t="s">
        <v>55</v>
      </c>
      <c r="D12" t="s">
        <v>154</v>
      </c>
      <c r="E12" t="str">
        <f t="shared" si="0"/>
        <v>Computer Network</v>
      </c>
      <c r="F12" s="12"/>
      <c r="I12" t="s">
        <v>155</v>
      </c>
      <c r="J12" t="s">
        <v>66</v>
      </c>
    </row>
    <row r="13" spans="1:10" x14ac:dyDescent="0.2">
      <c r="A13" t="s">
        <v>116</v>
      </c>
      <c r="B13" t="s">
        <v>109</v>
      </c>
      <c r="D13" t="s">
        <v>155</v>
      </c>
      <c r="E13" t="str">
        <f t="shared" si="0"/>
        <v>DB Interface Hardware</v>
      </c>
      <c r="F13" s="12"/>
      <c r="I13" t="s">
        <v>116</v>
      </c>
      <c r="J13" t="s">
        <v>67</v>
      </c>
    </row>
    <row r="14" spans="1:10" x14ac:dyDescent="0.2">
      <c r="A14" t="s">
        <v>162</v>
      </c>
      <c r="B14" t="s">
        <v>60</v>
      </c>
      <c r="C14" t="s">
        <v>61</v>
      </c>
      <c r="D14" t="s">
        <v>116</v>
      </c>
      <c r="E14" t="str">
        <f t="shared" si="0"/>
        <v>Business Process Objects</v>
      </c>
      <c r="F14" s="12"/>
      <c r="I14" t="s">
        <v>162</v>
      </c>
      <c r="J14" t="s">
        <v>76</v>
      </c>
    </row>
    <row r="15" spans="1:10" x14ac:dyDescent="0.2">
      <c r="A15" t="s">
        <v>163</v>
      </c>
      <c r="B15" t="s">
        <v>56</v>
      </c>
      <c r="D15" t="s">
        <v>116</v>
      </c>
      <c r="E15" t="str">
        <f t="shared" si="0"/>
        <v>Business Process Objects</v>
      </c>
      <c r="F15" s="12"/>
      <c r="I15" t="s">
        <v>163</v>
      </c>
      <c r="J15" t="s">
        <v>68</v>
      </c>
    </row>
    <row r="16" spans="1:10" x14ac:dyDescent="0.2">
      <c r="A16" t="s">
        <v>85</v>
      </c>
      <c r="B16" t="s">
        <v>57</v>
      </c>
      <c r="D16" t="s">
        <v>116</v>
      </c>
      <c r="E16" t="str">
        <f t="shared" si="0"/>
        <v>Business Process Objects</v>
      </c>
      <c r="I16" t="s">
        <v>85</v>
      </c>
      <c r="J16" t="s">
        <v>72</v>
      </c>
    </row>
    <row r="17" spans="1:14" x14ac:dyDescent="0.2">
      <c r="A17" t="s">
        <v>86</v>
      </c>
      <c r="B17" t="s">
        <v>58</v>
      </c>
      <c r="D17" t="s">
        <v>153</v>
      </c>
      <c r="E17" t="str">
        <f t="shared" si="0"/>
        <v>Role</v>
      </c>
      <c r="I17" t="s">
        <v>86</v>
      </c>
      <c r="J17" t="s">
        <v>78</v>
      </c>
    </row>
    <row r="18" spans="1:14" x14ac:dyDescent="0.2">
      <c r="A18" t="s">
        <v>87</v>
      </c>
      <c r="B18" t="s">
        <v>75</v>
      </c>
      <c r="D18" t="s">
        <v>162</v>
      </c>
      <c r="E18" t="str">
        <f t="shared" si="0"/>
        <v>DB Tablet App</v>
      </c>
      <c r="I18" t="s">
        <v>87</v>
      </c>
      <c r="J18" t="s">
        <v>81</v>
      </c>
    </row>
    <row r="19" spans="1:14" x14ac:dyDescent="0.2">
      <c r="A19" t="s">
        <v>88</v>
      </c>
      <c r="B19" t="s">
        <v>62</v>
      </c>
      <c r="C19" t="s">
        <v>63</v>
      </c>
      <c r="D19" t="s">
        <v>163</v>
      </c>
      <c r="E19" t="str">
        <f t="shared" si="0"/>
        <v>Business Data</v>
      </c>
      <c r="I19" t="s">
        <v>88</v>
      </c>
      <c r="J19" t="s">
        <v>103</v>
      </c>
    </row>
    <row r="20" spans="1:14" x14ac:dyDescent="0.2">
      <c r="A20" t="s">
        <v>89</v>
      </c>
      <c r="B20" t="s">
        <v>82</v>
      </c>
      <c r="C20" t="s">
        <v>83</v>
      </c>
      <c r="D20" t="s">
        <v>163</v>
      </c>
      <c r="E20" t="str">
        <f t="shared" si="0"/>
        <v>Business Data</v>
      </c>
      <c r="I20" t="s">
        <v>89</v>
      </c>
      <c r="J20" t="s">
        <v>106</v>
      </c>
    </row>
    <row r="21" spans="1:14" x14ac:dyDescent="0.2">
      <c r="A21" t="s">
        <v>90</v>
      </c>
      <c r="B21" t="s">
        <v>70</v>
      </c>
      <c r="D21" t="s">
        <v>153</v>
      </c>
      <c r="E21" t="str">
        <f t="shared" si="0"/>
        <v>Role</v>
      </c>
      <c r="I21" t="s">
        <v>90</v>
      </c>
      <c r="J21" t="s">
        <v>110</v>
      </c>
    </row>
    <row r="22" spans="1:14" x14ac:dyDescent="0.2">
      <c r="A22" t="s">
        <v>91</v>
      </c>
      <c r="B22" t="s">
        <v>71</v>
      </c>
      <c r="D22" t="s">
        <v>85</v>
      </c>
      <c r="E22" t="str">
        <f t="shared" si="0"/>
        <v>DB Tables</v>
      </c>
    </row>
    <row r="23" spans="1:14" x14ac:dyDescent="0.2">
      <c r="A23" t="s">
        <v>92</v>
      </c>
      <c r="B23" t="s">
        <v>73</v>
      </c>
      <c r="D23" t="s">
        <v>85</v>
      </c>
      <c r="E23" t="str">
        <f t="shared" si="0"/>
        <v>DB Tables</v>
      </c>
    </row>
    <row r="24" spans="1:14" x14ac:dyDescent="0.2">
      <c r="A24" t="s">
        <v>93</v>
      </c>
      <c r="B24" t="s">
        <v>74</v>
      </c>
      <c r="D24" t="s">
        <v>85</v>
      </c>
      <c r="E24" t="str">
        <f t="shared" si="0"/>
        <v>DB Tables</v>
      </c>
    </row>
    <row r="25" spans="1:14" x14ac:dyDescent="0.2">
      <c r="A25" t="s">
        <v>94</v>
      </c>
      <c r="B25" t="s">
        <v>77</v>
      </c>
      <c r="D25" t="s">
        <v>86</v>
      </c>
      <c r="E25" t="str">
        <f t="shared" si="0"/>
        <v>DB Server with Database of Tables</v>
      </c>
    </row>
    <row r="26" spans="1:14" x14ac:dyDescent="0.2">
      <c r="A26" t="s">
        <v>95</v>
      </c>
      <c r="B26" t="s">
        <v>79</v>
      </c>
      <c r="C26" t="s">
        <v>80</v>
      </c>
      <c r="D26" t="s">
        <v>87</v>
      </c>
      <c r="E26" t="str">
        <f t="shared" si="0"/>
        <v>DB Workstation App</v>
      </c>
    </row>
    <row r="27" spans="1:14" x14ac:dyDescent="0.2">
      <c r="A27" t="s">
        <v>96</v>
      </c>
      <c r="B27" t="s">
        <v>84</v>
      </c>
      <c r="D27" t="s">
        <v>87</v>
      </c>
      <c r="E27" t="str">
        <f t="shared" si="0"/>
        <v>DB Workstation App</v>
      </c>
      <c r="N27" s="12"/>
    </row>
    <row r="28" spans="1:14" x14ac:dyDescent="0.2">
      <c r="A28" t="s">
        <v>100</v>
      </c>
      <c r="B28" t="s">
        <v>97</v>
      </c>
      <c r="D28" t="s">
        <v>153</v>
      </c>
      <c r="E28" t="str">
        <f t="shared" si="0"/>
        <v>Role</v>
      </c>
      <c r="N28" s="12"/>
    </row>
    <row r="29" spans="1:14" x14ac:dyDescent="0.2">
      <c r="A29" t="s">
        <v>101</v>
      </c>
      <c r="B29" t="s">
        <v>98</v>
      </c>
      <c r="D29" t="s">
        <v>87</v>
      </c>
      <c r="E29" t="str">
        <f t="shared" si="0"/>
        <v>DB Workstation App</v>
      </c>
      <c r="N29" s="12"/>
    </row>
    <row r="30" spans="1:14" x14ac:dyDescent="0.2">
      <c r="A30" t="s">
        <v>102</v>
      </c>
      <c r="B30" t="s">
        <v>99</v>
      </c>
      <c r="D30" t="s">
        <v>88</v>
      </c>
      <c r="E30" t="str">
        <f t="shared" si="0"/>
        <v>Work Area</v>
      </c>
      <c r="N30" s="12"/>
    </row>
    <row r="31" spans="1:14" x14ac:dyDescent="0.2">
      <c r="A31" t="s">
        <v>104</v>
      </c>
      <c r="B31" t="s">
        <v>105</v>
      </c>
      <c r="D31" t="s">
        <v>89</v>
      </c>
      <c r="E31" t="str">
        <f t="shared" si="0"/>
        <v>Computer workstations</v>
      </c>
      <c r="N31" s="12"/>
    </row>
    <row r="32" spans="1:14" x14ac:dyDescent="0.2">
      <c r="A32" t="s">
        <v>108</v>
      </c>
      <c r="B32" t="s">
        <v>107</v>
      </c>
      <c r="D32" t="s">
        <v>90</v>
      </c>
      <c r="E32" t="str">
        <f t="shared" si="0"/>
        <v>Customer/Supplier</v>
      </c>
      <c r="N32" s="12"/>
    </row>
    <row r="49" spans="12:13" x14ac:dyDescent="0.2">
      <c r="L49" t="s">
        <v>90</v>
      </c>
      <c r="M49" t="e">
        <f>VLOOKUP(L49,$K$10:$L$21,2,FALSE)</f>
        <v>#N/A</v>
      </c>
    </row>
  </sheetData>
  <phoneticPr fontId="1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BCD7-BCDF-4AE4-A2DF-AC127322A1CA}">
  <dimension ref="A1:I24"/>
  <sheetViews>
    <sheetView workbookViewId="0">
      <selection activeCell="G17" sqref="G17"/>
    </sheetView>
  </sheetViews>
  <sheetFormatPr baseColWidth="10" defaultColWidth="8.83203125" defaultRowHeight="15" x14ac:dyDescent="0.2"/>
  <cols>
    <col min="2" max="2" width="6.83203125" customWidth="1"/>
    <col min="3" max="3" width="4" customWidth="1"/>
    <col min="4" max="4" width="4.5" customWidth="1"/>
    <col min="5" max="5" width="31.83203125" customWidth="1"/>
    <col min="6" max="6" width="25" customWidth="1"/>
    <col min="7" max="7" width="25.5" customWidth="1"/>
    <col min="8" max="8" width="12.1640625" customWidth="1"/>
    <col min="9" max="9" width="20.33203125" customWidth="1"/>
  </cols>
  <sheetData>
    <row r="1" spans="1:9" ht="24" x14ac:dyDescent="0.3">
      <c r="A1" t="s">
        <v>118</v>
      </c>
      <c r="E1" s="13" t="s">
        <v>69</v>
      </c>
    </row>
    <row r="4" spans="1:9" x14ac:dyDescent="0.2">
      <c r="B4" t="s">
        <v>171</v>
      </c>
    </row>
    <row r="7" spans="1:9" x14ac:dyDescent="0.2">
      <c r="B7" s="5" t="s">
        <v>10</v>
      </c>
      <c r="C7" s="5" t="s">
        <v>124</v>
      </c>
      <c r="D7" s="5"/>
      <c r="E7" s="5" t="s">
        <v>112</v>
      </c>
      <c r="F7" s="5" t="s">
        <v>17</v>
      </c>
      <c r="G7" s="5" t="s">
        <v>111</v>
      </c>
      <c r="H7" s="5" t="s">
        <v>39</v>
      </c>
      <c r="I7" s="5" t="s">
        <v>40</v>
      </c>
    </row>
    <row r="8" spans="1:9" x14ac:dyDescent="0.2">
      <c r="G8" s="12"/>
    </row>
    <row r="9" spans="1:9" x14ac:dyDescent="0.2">
      <c r="B9">
        <v>1</v>
      </c>
      <c r="C9">
        <v>1</v>
      </c>
      <c r="D9" t="s">
        <v>127</v>
      </c>
      <c r="E9" t="s">
        <v>145</v>
      </c>
      <c r="F9" t="str">
        <f>"See Documentation Sec " &amp;C9&amp;D9</f>
        <v>See Documentation Sec 1a</v>
      </c>
      <c r="G9" s="5"/>
      <c r="H9" s="5"/>
      <c r="I9" s="5"/>
    </row>
    <row r="10" spans="1:9" x14ac:dyDescent="0.2">
      <c r="B10">
        <v>2</v>
      </c>
      <c r="C10">
        <v>1</v>
      </c>
      <c r="D10" t="s">
        <v>128</v>
      </c>
      <c r="E10" t="s">
        <v>126</v>
      </c>
      <c r="F10" t="str">
        <f t="shared" ref="F10:F24" si="0">"See Documentation Sec " &amp;C10&amp;D10</f>
        <v>See Documentation Sec 1b</v>
      </c>
      <c r="G10" s="7"/>
      <c r="H10" s="12"/>
    </row>
    <row r="11" spans="1:9" x14ac:dyDescent="0.2">
      <c r="B11">
        <v>3</v>
      </c>
      <c r="C11">
        <v>1</v>
      </c>
      <c r="D11" t="s">
        <v>129</v>
      </c>
      <c r="E11" t="s">
        <v>125</v>
      </c>
      <c r="F11" t="str">
        <f t="shared" si="0"/>
        <v>See Documentation Sec 1c</v>
      </c>
      <c r="G11" s="7"/>
      <c r="H11" s="12"/>
    </row>
    <row r="12" spans="1:9" x14ac:dyDescent="0.2">
      <c r="B12">
        <v>4</v>
      </c>
      <c r="C12">
        <v>2</v>
      </c>
      <c r="E12" t="s">
        <v>130</v>
      </c>
      <c r="F12" t="str">
        <f t="shared" si="0"/>
        <v>See Documentation Sec 2</v>
      </c>
      <c r="G12" s="7"/>
      <c r="H12" s="12"/>
    </row>
    <row r="13" spans="1:9" x14ac:dyDescent="0.2">
      <c r="B13">
        <v>5</v>
      </c>
      <c r="C13">
        <v>3</v>
      </c>
      <c r="D13" t="s">
        <v>128</v>
      </c>
      <c r="E13" t="s">
        <v>131</v>
      </c>
      <c r="F13" t="str">
        <f t="shared" si="0"/>
        <v>See Documentation Sec 3b</v>
      </c>
    </row>
    <row r="14" spans="1:9" x14ac:dyDescent="0.2">
      <c r="B14">
        <v>6</v>
      </c>
      <c r="C14">
        <v>3</v>
      </c>
      <c r="D14" t="s">
        <v>129</v>
      </c>
      <c r="E14" t="s">
        <v>132</v>
      </c>
      <c r="F14" t="str">
        <f t="shared" si="0"/>
        <v>See Documentation Sec 3c</v>
      </c>
    </row>
    <row r="15" spans="1:9" x14ac:dyDescent="0.2">
      <c r="B15">
        <v>7</v>
      </c>
      <c r="C15">
        <v>4</v>
      </c>
      <c r="E15" t="s">
        <v>172</v>
      </c>
      <c r="F15" t="str">
        <f t="shared" si="0"/>
        <v>See Documentation Sec 4</v>
      </c>
    </row>
    <row r="16" spans="1:9" x14ac:dyDescent="0.2">
      <c r="B16">
        <v>8</v>
      </c>
      <c r="C16">
        <v>5</v>
      </c>
      <c r="E16" t="s">
        <v>133</v>
      </c>
      <c r="F16" t="str">
        <f t="shared" si="0"/>
        <v>See Documentation Sec 5</v>
      </c>
    </row>
    <row r="17" spans="2:6" x14ac:dyDescent="0.2">
      <c r="B17">
        <v>9</v>
      </c>
      <c r="C17">
        <v>6</v>
      </c>
      <c r="D17" t="s">
        <v>127</v>
      </c>
      <c r="E17" t="s">
        <v>134</v>
      </c>
      <c r="F17" t="str">
        <f t="shared" si="0"/>
        <v>See Documentation Sec 6a</v>
      </c>
    </row>
    <row r="18" spans="2:6" x14ac:dyDescent="0.2">
      <c r="B18">
        <v>10</v>
      </c>
      <c r="C18">
        <v>6</v>
      </c>
      <c r="D18" t="s">
        <v>128</v>
      </c>
      <c r="E18" t="s">
        <v>135</v>
      </c>
      <c r="F18" t="str">
        <f t="shared" si="0"/>
        <v>See Documentation Sec 6b</v>
      </c>
    </row>
    <row r="19" spans="2:6" x14ac:dyDescent="0.2">
      <c r="B19">
        <v>11</v>
      </c>
      <c r="C19">
        <v>6</v>
      </c>
      <c r="D19" t="s">
        <v>129</v>
      </c>
      <c r="E19" t="s">
        <v>136</v>
      </c>
      <c r="F19" t="str">
        <f t="shared" si="0"/>
        <v>See Documentation Sec 6c</v>
      </c>
    </row>
    <row r="20" spans="2:6" x14ac:dyDescent="0.2">
      <c r="B20">
        <v>12</v>
      </c>
      <c r="C20">
        <v>6</v>
      </c>
      <c r="D20" t="s">
        <v>140</v>
      </c>
      <c r="E20" t="s">
        <v>137</v>
      </c>
      <c r="F20" t="str">
        <f t="shared" si="0"/>
        <v>See Documentation Sec 6d</v>
      </c>
    </row>
    <row r="21" spans="2:6" x14ac:dyDescent="0.2">
      <c r="B21">
        <v>13</v>
      </c>
      <c r="C21">
        <v>6</v>
      </c>
      <c r="D21" t="s">
        <v>141</v>
      </c>
      <c r="E21" t="s">
        <v>138</v>
      </c>
      <c r="F21" t="str">
        <f t="shared" si="0"/>
        <v>See Documentation Sec 6e</v>
      </c>
    </row>
    <row r="22" spans="2:6" x14ac:dyDescent="0.2">
      <c r="B22">
        <v>14</v>
      </c>
      <c r="C22">
        <v>6</v>
      </c>
      <c r="D22" t="s">
        <v>142</v>
      </c>
      <c r="E22" t="s">
        <v>139</v>
      </c>
      <c r="F22" t="str">
        <f t="shared" si="0"/>
        <v>See Documentation Sec 6f</v>
      </c>
    </row>
    <row r="23" spans="2:6" x14ac:dyDescent="0.2">
      <c r="B23">
        <v>15</v>
      </c>
      <c r="C23">
        <v>7</v>
      </c>
      <c r="D23" t="s">
        <v>127</v>
      </c>
      <c r="E23" t="s">
        <v>143</v>
      </c>
      <c r="F23" t="str">
        <f t="shared" si="0"/>
        <v>See Documentation Sec 7a</v>
      </c>
    </row>
    <row r="24" spans="2:6" x14ac:dyDescent="0.2">
      <c r="B24">
        <v>16</v>
      </c>
      <c r="C24">
        <v>7</v>
      </c>
      <c r="D24" t="s">
        <v>128</v>
      </c>
      <c r="E24" t="s">
        <v>144</v>
      </c>
      <c r="F24" t="str">
        <f t="shared" si="0"/>
        <v>See Documentation Sec 7b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B051-AA62-4693-A733-C07DD46D61A7}">
  <dimension ref="A1"/>
  <sheetViews>
    <sheetView workbookViewId="0">
      <selection activeCell="N8" sqref="N8"/>
    </sheetView>
  </sheetViews>
  <sheetFormatPr baseColWidth="10" defaultColWidth="8.83203125" defaultRowHeight="15" x14ac:dyDescent="0.2"/>
  <sheetData>
    <row r="1" spans="1:1" x14ac:dyDescent="0.2">
      <c r="A1" t="s">
        <v>175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500F-2374-47E0-AEE2-6214D8744C1A}">
  <dimension ref="A1:L36"/>
  <sheetViews>
    <sheetView workbookViewId="0">
      <selection activeCell="G34" sqref="G34"/>
    </sheetView>
  </sheetViews>
  <sheetFormatPr baseColWidth="10" defaultColWidth="8.83203125" defaultRowHeight="15" x14ac:dyDescent="0.2"/>
  <cols>
    <col min="2" max="2" width="6.5" customWidth="1"/>
    <col min="3" max="3" width="11.83203125" customWidth="1"/>
    <col min="4" max="4" width="21.5" style="7" customWidth="1"/>
    <col min="5" max="5" width="26" style="7" bestFit="1" customWidth="1"/>
    <col min="6" max="6" width="24.33203125" style="7" customWidth="1"/>
    <col min="7" max="7" width="19.1640625" style="7" customWidth="1"/>
    <col min="8" max="8" width="14.83203125" bestFit="1" customWidth="1"/>
    <col min="9" max="9" width="28.83203125" customWidth="1"/>
    <col min="10" max="10" width="29.83203125" bestFit="1" customWidth="1"/>
    <col min="11" max="11" width="30" bestFit="1" customWidth="1"/>
    <col min="12" max="12" width="36" bestFit="1" customWidth="1"/>
  </cols>
  <sheetData>
    <row r="1" spans="1:12" ht="24" x14ac:dyDescent="0.3">
      <c r="A1" s="25" t="s">
        <v>201</v>
      </c>
      <c r="B1" s="25"/>
      <c r="C1" s="25"/>
      <c r="D1" s="25"/>
      <c r="F1" s="13"/>
    </row>
    <row r="7" spans="1:12" ht="32" x14ac:dyDescent="0.2">
      <c r="B7" s="11" t="s">
        <v>10</v>
      </c>
      <c r="C7" s="11" t="s">
        <v>112</v>
      </c>
      <c r="D7" s="11" t="s">
        <v>115</v>
      </c>
      <c r="E7" s="11" t="s">
        <v>170</v>
      </c>
      <c r="F7" s="11" t="s">
        <v>113</v>
      </c>
      <c r="G7" s="11" t="s">
        <v>114</v>
      </c>
      <c r="H7" s="11" t="s">
        <v>117</v>
      </c>
      <c r="I7" s="11" t="s">
        <v>146</v>
      </c>
      <c r="J7" s="11" t="s">
        <v>147</v>
      </c>
      <c r="K7" s="21" t="s">
        <v>270</v>
      </c>
      <c r="L7" s="21" t="s">
        <v>271</v>
      </c>
    </row>
    <row r="8" spans="1:12" x14ac:dyDescent="0.2">
      <c r="B8" s="19">
        <v>1</v>
      </c>
      <c r="C8" s="20" t="s">
        <v>202</v>
      </c>
      <c r="D8" s="20" t="s">
        <v>134</v>
      </c>
      <c r="E8" s="20" t="s">
        <v>203</v>
      </c>
      <c r="F8" s="20" t="s">
        <v>204</v>
      </c>
      <c r="G8" s="20" t="s">
        <v>205</v>
      </c>
      <c r="H8" s="20" t="s">
        <v>206</v>
      </c>
      <c r="I8" s="20" t="s">
        <v>148</v>
      </c>
      <c r="J8" s="20" t="s">
        <v>156</v>
      </c>
      <c r="K8" s="20" t="s">
        <v>272</v>
      </c>
      <c r="L8" s="20" t="s">
        <v>273</v>
      </c>
    </row>
    <row r="9" spans="1:12" x14ac:dyDescent="0.2">
      <c r="B9" s="19">
        <v>2</v>
      </c>
      <c r="C9" s="20" t="s">
        <v>202</v>
      </c>
      <c r="D9" s="20" t="s">
        <v>134</v>
      </c>
      <c r="E9" s="20" t="s">
        <v>203</v>
      </c>
      <c r="F9" s="20" t="s">
        <v>204</v>
      </c>
      <c r="G9" s="20" t="s">
        <v>207</v>
      </c>
      <c r="H9" s="20" t="s">
        <v>208</v>
      </c>
      <c r="I9" s="20" t="s">
        <v>209</v>
      </c>
      <c r="J9" s="20" t="s">
        <v>197</v>
      </c>
      <c r="K9" s="20" t="s">
        <v>274</v>
      </c>
      <c r="L9" s="20" t="s">
        <v>275</v>
      </c>
    </row>
    <row r="10" spans="1:12" x14ac:dyDescent="0.2">
      <c r="B10" s="19">
        <v>3</v>
      </c>
      <c r="C10" s="20" t="s">
        <v>202</v>
      </c>
      <c r="D10" s="20" t="s">
        <v>134</v>
      </c>
      <c r="E10" s="20" t="s">
        <v>203</v>
      </c>
      <c r="F10" s="20" t="s">
        <v>204</v>
      </c>
      <c r="G10" s="20" t="s">
        <v>210</v>
      </c>
      <c r="H10" s="20" t="s">
        <v>211</v>
      </c>
      <c r="I10" s="20" t="s">
        <v>209</v>
      </c>
      <c r="J10" s="20" t="s">
        <v>212</v>
      </c>
      <c r="K10" s="20" t="s">
        <v>276</v>
      </c>
      <c r="L10" s="20" t="s">
        <v>277</v>
      </c>
    </row>
    <row r="11" spans="1:12" x14ac:dyDescent="0.2">
      <c r="B11" s="19">
        <v>4</v>
      </c>
      <c r="C11" s="20" t="s">
        <v>202</v>
      </c>
      <c r="D11" s="20" t="s">
        <v>134</v>
      </c>
      <c r="E11" s="20" t="s">
        <v>203</v>
      </c>
      <c r="F11" s="20" t="s">
        <v>204</v>
      </c>
      <c r="G11" s="20" t="s">
        <v>213</v>
      </c>
      <c r="H11" s="20" t="s">
        <v>214</v>
      </c>
      <c r="I11" s="20" t="s">
        <v>215</v>
      </c>
      <c r="J11" s="20" t="s">
        <v>216</v>
      </c>
      <c r="K11" s="20" t="s">
        <v>278</v>
      </c>
      <c r="L11" s="20" t="s">
        <v>279</v>
      </c>
    </row>
    <row r="12" spans="1:12" x14ac:dyDescent="0.2">
      <c r="B12" s="19">
        <v>5</v>
      </c>
      <c r="C12" s="20" t="s">
        <v>202</v>
      </c>
      <c r="D12" s="20" t="s">
        <v>134</v>
      </c>
      <c r="E12" s="20" t="s">
        <v>203</v>
      </c>
      <c r="F12" s="20" t="s">
        <v>204</v>
      </c>
      <c r="G12" s="20" t="s">
        <v>217</v>
      </c>
      <c r="H12" s="20" t="s">
        <v>218</v>
      </c>
      <c r="I12" s="20" t="s">
        <v>215</v>
      </c>
      <c r="J12" s="20" t="s">
        <v>219</v>
      </c>
      <c r="K12" s="20" t="s">
        <v>280</v>
      </c>
      <c r="L12" s="20" t="s">
        <v>281</v>
      </c>
    </row>
    <row r="13" spans="1:12" x14ac:dyDescent="0.2">
      <c r="B13" s="19">
        <v>6</v>
      </c>
      <c r="C13" s="20" t="s">
        <v>202</v>
      </c>
      <c r="D13" s="20" t="s">
        <v>134</v>
      </c>
      <c r="E13" s="20" t="s">
        <v>203</v>
      </c>
      <c r="F13" s="20" t="s">
        <v>204</v>
      </c>
      <c r="G13" s="20" t="s">
        <v>220</v>
      </c>
      <c r="H13" s="20" t="s">
        <v>221</v>
      </c>
      <c r="I13" s="20" t="s">
        <v>215</v>
      </c>
      <c r="J13" s="20" t="s">
        <v>219</v>
      </c>
      <c r="K13" s="20" t="s">
        <v>282</v>
      </c>
      <c r="L13" s="20" t="s">
        <v>283</v>
      </c>
    </row>
    <row r="14" spans="1:12" x14ac:dyDescent="0.2">
      <c r="B14" s="19">
        <v>7</v>
      </c>
      <c r="C14" s="20" t="s">
        <v>202</v>
      </c>
      <c r="D14" s="20" t="s">
        <v>134</v>
      </c>
      <c r="E14" s="20" t="s">
        <v>203</v>
      </c>
      <c r="F14" s="20" t="s">
        <v>204</v>
      </c>
      <c r="G14" s="20" t="s">
        <v>222</v>
      </c>
      <c r="H14" s="20" t="s">
        <v>223</v>
      </c>
      <c r="I14" s="20" t="s">
        <v>215</v>
      </c>
      <c r="J14" s="20" t="s">
        <v>216</v>
      </c>
      <c r="K14" s="20" t="s">
        <v>284</v>
      </c>
      <c r="L14" s="20" t="s">
        <v>285</v>
      </c>
    </row>
    <row r="15" spans="1:12" x14ac:dyDescent="0.2">
      <c r="B15" s="19">
        <v>8</v>
      </c>
      <c r="C15" s="20" t="s">
        <v>202</v>
      </c>
      <c r="D15" s="20" t="s">
        <v>134</v>
      </c>
      <c r="E15" s="20" t="s">
        <v>203</v>
      </c>
      <c r="F15" s="20" t="s">
        <v>204</v>
      </c>
      <c r="G15" s="20" t="s">
        <v>224</v>
      </c>
      <c r="H15" s="20" t="s">
        <v>225</v>
      </c>
      <c r="I15" s="20" t="s">
        <v>215</v>
      </c>
      <c r="J15" s="20" t="s">
        <v>216</v>
      </c>
      <c r="K15" s="20" t="s">
        <v>286</v>
      </c>
      <c r="L15" s="20" t="s">
        <v>287</v>
      </c>
    </row>
    <row r="16" spans="1:12" x14ac:dyDescent="0.2">
      <c r="B16" s="19">
        <v>9</v>
      </c>
      <c r="C16" s="20" t="s">
        <v>202</v>
      </c>
      <c r="D16" s="20" t="s">
        <v>134</v>
      </c>
      <c r="E16" s="20" t="s">
        <v>203</v>
      </c>
      <c r="F16" s="20" t="s">
        <v>204</v>
      </c>
      <c r="G16" s="20" t="s">
        <v>226</v>
      </c>
      <c r="H16" s="20" t="s">
        <v>218</v>
      </c>
      <c r="I16" s="20" t="s">
        <v>215</v>
      </c>
      <c r="J16" s="20" t="s">
        <v>198</v>
      </c>
      <c r="K16" s="20" t="s">
        <v>288</v>
      </c>
      <c r="L16" s="20" t="s">
        <v>289</v>
      </c>
    </row>
    <row r="17" spans="2:12" x14ac:dyDescent="0.2">
      <c r="B17" s="19">
        <v>10</v>
      </c>
      <c r="C17" s="20" t="s">
        <v>202</v>
      </c>
      <c r="D17" s="20" t="s">
        <v>134</v>
      </c>
      <c r="E17" s="20" t="s">
        <v>203</v>
      </c>
      <c r="F17" s="20" t="s">
        <v>204</v>
      </c>
      <c r="G17" s="20" t="s">
        <v>227</v>
      </c>
      <c r="H17" s="20" t="s">
        <v>221</v>
      </c>
      <c r="I17" s="20" t="s">
        <v>215</v>
      </c>
      <c r="J17" s="20" t="s">
        <v>198</v>
      </c>
      <c r="K17" s="20" t="s">
        <v>290</v>
      </c>
      <c r="L17" s="20" t="s">
        <v>291</v>
      </c>
    </row>
    <row r="18" spans="2:12" x14ac:dyDescent="0.2">
      <c r="B18" s="19">
        <v>11</v>
      </c>
      <c r="C18" s="20" t="s">
        <v>202</v>
      </c>
      <c r="D18" s="20" t="s">
        <v>134</v>
      </c>
      <c r="E18" s="20" t="s">
        <v>203</v>
      </c>
      <c r="F18" s="20" t="s">
        <v>204</v>
      </c>
      <c r="G18" s="20" t="s">
        <v>228</v>
      </c>
      <c r="H18" s="20" t="s">
        <v>218</v>
      </c>
      <c r="I18" s="20" t="s">
        <v>215</v>
      </c>
      <c r="J18" s="20" t="s">
        <v>198</v>
      </c>
      <c r="K18" s="20" t="s">
        <v>292</v>
      </c>
      <c r="L18" s="20" t="s">
        <v>293</v>
      </c>
    </row>
    <row r="19" spans="2:12" ht="12.75" customHeight="1" x14ac:dyDescent="0.2">
      <c r="B19" s="19">
        <v>12</v>
      </c>
      <c r="C19" s="20" t="s">
        <v>202</v>
      </c>
      <c r="D19" s="20" t="s">
        <v>134</v>
      </c>
      <c r="E19" s="20" t="s">
        <v>203</v>
      </c>
      <c r="F19" s="20" t="s">
        <v>204</v>
      </c>
      <c r="G19" s="20" t="s">
        <v>229</v>
      </c>
      <c r="H19" s="20" t="s">
        <v>221</v>
      </c>
      <c r="I19" s="20" t="s">
        <v>215</v>
      </c>
      <c r="J19" s="20" t="s">
        <v>198</v>
      </c>
      <c r="K19" s="20" t="s">
        <v>294</v>
      </c>
      <c r="L19" s="20" t="s">
        <v>295</v>
      </c>
    </row>
    <row r="20" spans="2:12" ht="12.75" customHeight="1" x14ac:dyDescent="0.2">
      <c r="B20" s="19">
        <v>13</v>
      </c>
      <c r="C20" s="20" t="s">
        <v>202</v>
      </c>
      <c r="D20" s="20" t="s">
        <v>134</v>
      </c>
      <c r="E20" s="20" t="s">
        <v>203</v>
      </c>
      <c r="F20" s="20" t="s">
        <v>204</v>
      </c>
      <c r="G20" s="20" t="s">
        <v>230</v>
      </c>
      <c r="H20" s="20" t="s">
        <v>231</v>
      </c>
      <c r="I20" s="20" t="s">
        <v>215</v>
      </c>
      <c r="J20" s="20" t="s">
        <v>198</v>
      </c>
      <c r="K20" s="20" t="s">
        <v>296</v>
      </c>
      <c r="L20" s="20" t="s">
        <v>297</v>
      </c>
    </row>
    <row r="21" spans="2:12" ht="12.75" customHeight="1" x14ac:dyDescent="0.2">
      <c r="B21" s="19">
        <v>14</v>
      </c>
      <c r="C21" s="20" t="s">
        <v>202</v>
      </c>
      <c r="D21" s="20" t="s">
        <v>134</v>
      </c>
      <c r="E21" s="20" t="s">
        <v>203</v>
      </c>
      <c r="F21" s="20" t="s">
        <v>204</v>
      </c>
      <c r="G21" t="s">
        <v>236</v>
      </c>
      <c r="H21" t="s">
        <v>211</v>
      </c>
      <c r="I21" t="s">
        <v>215</v>
      </c>
      <c r="J21" t="s">
        <v>198</v>
      </c>
      <c r="K21" s="20" t="s">
        <v>298</v>
      </c>
      <c r="L21" s="20" t="s">
        <v>299</v>
      </c>
    </row>
    <row r="22" spans="2:12" x14ac:dyDescent="0.2">
      <c r="B22" s="19">
        <v>15</v>
      </c>
      <c r="C22" s="20" t="s">
        <v>202</v>
      </c>
      <c r="D22" s="20" t="s">
        <v>134</v>
      </c>
      <c r="E22" s="20" t="s">
        <v>203</v>
      </c>
      <c r="F22" s="20" t="s">
        <v>204</v>
      </c>
      <c r="G22" t="s">
        <v>237</v>
      </c>
      <c r="H22" t="s">
        <v>238</v>
      </c>
      <c r="I22" t="s">
        <v>215</v>
      </c>
      <c r="J22" t="s">
        <v>198</v>
      </c>
      <c r="K22" s="20" t="s">
        <v>300</v>
      </c>
      <c r="L22" s="20" t="s">
        <v>301</v>
      </c>
    </row>
    <row r="23" spans="2:12" ht="28" customHeight="1" x14ac:dyDescent="0.2">
      <c r="B23" s="19">
        <v>16</v>
      </c>
      <c r="C23" s="20" t="s">
        <v>202</v>
      </c>
      <c r="D23" s="20" t="s">
        <v>134</v>
      </c>
      <c r="E23" s="20" t="s">
        <v>203</v>
      </c>
      <c r="F23" s="20" t="s">
        <v>204</v>
      </c>
      <c r="G23" t="s">
        <v>239</v>
      </c>
      <c r="H23" t="s">
        <v>240</v>
      </c>
      <c r="I23" t="s">
        <v>215</v>
      </c>
      <c r="J23" t="s">
        <v>198</v>
      </c>
      <c r="K23" s="20" t="s">
        <v>302</v>
      </c>
      <c r="L23" s="20" t="s">
        <v>303</v>
      </c>
    </row>
    <row r="24" spans="2:12" ht="14.25" customHeight="1" x14ac:dyDescent="0.2">
      <c r="B24" s="19">
        <v>17</v>
      </c>
      <c r="C24" s="20" t="s">
        <v>202</v>
      </c>
      <c r="D24" s="20" t="s">
        <v>134</v>
      </c>
      <c r="E24" s="20" t="s">
        <v>203</v>
      </c>
      <c r="F24" t="s">
        <v>257</v>
      </c>
      <c r="G24" t="s">
        <v>241</v>
      </c>
      <c r="H24" t="s">
        <v>206</v>
      </c>
      <c r="I24" t="s">
        <v>148</v>
      </c>
      <c r="J24" t="s">
        <v>242</v>
      </c>
      <c r="K24" s="20" t="s">
        <v>304</v>
      </c>
      <c r="L24" s="20" t="s">
        <v>305</v>
      </c>
    </row>
    <row r="25" spans="2:12" x14ac:dyDescent="0.2">
      <c r="B25" s="19">
        <v>18</v>
      </c>
      <c r="C25" s="20" t="s">
        <v>202</v>
      </c>
      <c r="D25" s="20" t="s">
        <v>134</v>
      </c>
      <c r="E25" s="20" t="s">
        <v>203</v>
      </c>
      <c r="F25" t="s">
        <v>257</v>
      </c>
      <c r="G25" t="s">
        <v>243</v>
      </c>
      <c r="H25" t="s">
        <v>231</v>
      </c>
      <c r="I25" t="s">
        <v>215</v>
      </c>
      <c r="J25" t="s">
        <v>198</v>
      </c>
      <c r="K25" s="20" t="s">
        <v>306</v>
      </c>
      <c r="L25" s="20" t="s">
        <v>307</v>
      </c>
    </row>
    <row r="26" spans="2:12" x14ac:dyDescent="0.2">
      <c r="B26" s="19">
        <v>19</v>
      </c>
      <c r="C26" s="20" t="s">
        <v>202</v>
      </c>
      <c r="D26" s="20" t="s">
        <v>134</v>
      </c>
      <c r="E26" s="20" t="s">
        <v>203</v>
      </c>
      <c r="F26" t="s">
        <v>257</v>
      </c>
      <c r="G26" t="s">
        <v>235</v>
      </c>
      <c r="H26" t="s">
        <v>211</v>
      </c>
      <c r="I26" t="s">
        <v>215</v>
      </c>
      <c r="J26" t="s">
        <v>198</v>
      </c>
      <c r="K26" s="20" t="s">
        <v>308</v>
      </c>
      <c r="L26" s="20" t="s">
        <v>309</v>
      </c>
    </row>
    <row r="27" spans="2:12" x14ac:dyDescent="0.2">
      <c r="B27" s="19">
        <v>20</v>
      </c>
      <c r="C27" s="20" t="s">
        <v>202</v>
      </c>
      <c r="D27" s="20" t="s">
        <v>134</v>
      </c>
      <c r="E27" s="20" t="s">
        <v>203</v>
      </c>
      <c r="F27" t="s">
        <v>234</v>
      </c>
      <c r="G27" t="s">
        <v>232</v>
      </c>
      <c r="H27" t="s">
        <v>233</v>
      </c>
      <c r="I27" t="s">
        <v>209</v>
      </c>
      <c r="J27" t="s">
        <v>234</v>
      </c>
      <c r="K27" s="20" t="s">
        <v>310</v>
      </c>
      <c r="L27" s="20" t="s">
        <v>311</v>
      </c>
    </row>
    <row r="28" spans="2:12" x14ac:dyDescent="0.2">
      <c r="B28" s="19">
        <v>21</v>
      </c>
      <c r="C28" s="20" t="s">
        <v>202</v>
      </c>
      <c r="D28" s="20" t="s">
        <v>134</v>
      </c>
      <c r="E28" s="20" t="s">
        <v>203</v>
      </c>
      <c r="F28" s="20" t="s">
        <v>204</v>
      </c>
      <c r="G28" t="s">
        <v>244</v>
      </c>
      <c r="H28" t="s">
        <v>231</v>
      </c>
      <c r="I28" t="s">
        <v>215</v>
      </c>
      <c r="J28" t="s">
        <v>198</v>
      </c>
      <c r="K28" s="20" t="s">
        <v>312</v>
      </c>
      <c r="L28" s="20" t="s">
        <v>313</v>
      </c>
    </row>
    <row r="29" spans="2:12" x14ac:dyDescent="0.2">
      <c r="B29" s="19">
        <v>22</v>
      </c>
      <c r="C29" s="20" t="s">
        <v>202</v>
      </c>
      <c r="D29" s="20" t="s">
        <v>134</v>
      </c>
      <c r="E29" s="20" t="s">
        <v>203</v>
      </c>
      <c r="F29" s="20" t="s">
        <v>204</v>
      </c>
      <c r="G29" t="s">
        <v>245</v>
      </c>
      <c r="H29" t="s">
        <v>246</v>
      </c>
      <c r="I29" t="s">
        <v>215</v>
      </c>
      <c r="J29" t="s">
        <v>198</v>
      </c>
      <c r="K29" s="20" t="s">
        <v>314</v>
      </c>
      <c r="L29" s="20" t="s">
        <v>315</v>
      </c>
    </row>
    <row r="30" spans="2:12" x14ac:dyDescent="0.2">
      <c r="B30" s="19">
        <v>23</v>
      </c>
      <c r="C30" s="20" t="s">
        <v>202</v>
      </c>
      <c r="D30" s="20" t="s">
        <v>134</v>
      </c>
      <c r="E30" s="20" t="s">
        <v>203</v>
      </c>
      <c r="F30" t="s">
        <v>258</v>
      </c>
      <c r="G30" t="s">
        <v>247</v>
      </c>
      <c r="H30" t="s">
        <v>240</v>
      </c>
      <c r="I30" t="s">
        <v>215</v>
      </c>
      <c r="J30" t="s">
        <v>248</v>
      </c>
      <c r="K30" s="20" t="s">
        <v>316</v>
      </c>
      <c r="L30" s="20" t="s">
        <v>317</v>
      </c>
    </row>
    <row r="31" spans="2:12" x14ac:dyDescent="0.2">
      <c r="B31" s="19">
        <v>24</v>
      </c>
      <c r="C31" s="20" t="s">
        <v>202</v>
      </c>
      <c r="D31" s="20" t="s">
        <v>134</v>
      </c>
      <c r="E31" s="20" t="s">
        <v>203</v>
      </c>
      <c r="F31" t="s">
        <v>259</v>
      </c>
      <c r="G31" t="s">
        <v>249</v>
      </c>
      <c r="H31" t="s">
        <v>214</v>
      </c>
      <c r="I31" t="s">
        <v>209</v>
      </c>
      <c r="J31" t="s">
        <v>199</v>
      </c>
      <c r="K31" s="20" t="s">
        <v>318</v>
      </c>
      <c r="L31" s="20" t="s">
        <v>319</v>
      </c>
    </row>
    <row r="32" spans="2:12" ht="20" customHeight="1" x14ac:dyDescent="0.2">
      <c r="B32" s="19">
        <v>25</v>
      </c>
      <c r="C32" s="20" t="s">
        <v>202</v>
      </c>
      <c r="D32" s="20" t="s">
        <v>134</v>
      </c>
      <c r="E32" s="20" t="s">
        <v>203</v>
      </c>
      <c r="F32" t="s">
        <v>258</v>
      </c>
      <c r="G32" t="s">
        <v>250</v>
      </c>
      <c r="H32" t="s">
        <v>231</v>
      </c>
      <c r="I32" t="s">
        <v>215</v>
      </c>
      <c r="J32" t="s">
        <v>198</v>
      </c>
      <c r="K32" s="20" t="s">
        <v>320</v>
      </c>
      <c r="L32" s="20" t="s">
        <v>321</v>
      </c>
    </row>
    <row r="33" spans="2:12" ht="15" customHeight="1" x14ac:dyDescent="0.2">
      <c r="B33" s="19">
        <v>26</v>
      </c>
      <c r="C33" s="20" t="s">
        <v>202</v>
      </c>
      <c r="D33" s="20" t="s">
        <v>134</v>
      </c>
      <c r="E33" s="20" t="s">
        <v>203</v>
      </c>
      <c r="F33" t="s">
        <v>260</v>
      </c>
      <c r="G33" t="s">
        <v>251</v>
      </c>
      <c r="H33" t="s">
        <v>240</v>
      </c>
      <c r="I33" t="s">
        <v>215</v>
      </c>
      <c r="J33" t="s">
        <v>252</v>
      </c>
      <c r="K33" s="20" t="s">
        <v>322</v>
      </c>
      <c r="L33" s="20" t="s">
        <v>323</v>
      </c>
    </row>
    <row r="34" spans="2:12" x14ac:dyDescent="0.2">
      <c r="B34" s="19">
        <v>27</v>
      </c>
      <c r="C34" s="20" t="s">
        <v>202</v>
      </c>
      <c r="D34" s="20" t="s">
        <v>134</v>
      </c>
      <c r="E34" s="20" t="s">
        <v>203</v>
      </c>
      <c r="F34" t="s">
        <v>261</v>
      </c>
      <c r="G34" t="s">
        <v>253</v>
      </c>
      <c r="H34" t="s">
        <v>214</v>
      </c>
      <c r="I34" t="s">
        <v>148</v>
      </c>
      <c r="J34" t="s">
        <v>254</v>
      </c>
      <c r="K34" s="20" t="s">
        <v>324</v>
      </c>
      <c r="L34" s="20" t="s">
        <v>325</v>
      </c>
    </row>
    <row r="35" spans="2:12" x14ac:dyDescent="0.2">
      <c r="B35" s="19">
        <v>28</v>
      </c>
      <c r="C35" s="20" t="s">
        <v>202</v>
      </c>
      <c r="D35" s="20" t="s">
        <v>134</v>
      </c>
      <c r="E35" s="20" t="s">
        <v>203</v>
      </c>
      <c r="F35" s="20" t="s">
        <v>204</v>
      </c>
      <c r="G35" t="s">
        <v>255</v>
      </c>
      <c r="H35" t="s">
        <v>211</v>
      </c>
      <c r="I35" t="s">
        <v>215</v>
      </c>
      <c r="J35" t="s">
        <v>198</v>
      </c>
      <c r="K35" s="20" t="s">
        <v>326</v>
      </c>
      <c r="L35" s="20" t="s">
        <v>327</v>
      </c>
    </row>
    <row r="36" spans="2:12" x14ac:dyDescent="0.2">
      <c r="B36" s="19">
        <v>29</v>
      </c>
      <c r="C36" s="20" t="s">
        <v>202</v>
      </c>
      <c r="D36" s="20" t="s">
        <v>134</v>
      </c>
      <c r="E36" s="20" t="s">
        <v>203</v>
      </c>
      <c r="F36" t="s">
        <v>262</v>
      </c>
      <c r="G36" t="s">
        <v>256</v>
      </c>
      <c r="H36" t="s">
        <v>240</v>
      </c>
      <c r="I36" t="s">
        <v>215</v>
      </c>
      <c r="J36" t="s">
        <v>200</v>
      </c>
      <c r="K36" s="20" t="s">
        <v>328</v>
      </c>
      <c r="L36" s="20" t="s">
        <v>329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95C7-7876-4D81-8BE5-9C0BEFDEE34E}">
  <dimension ref="B3:N90"/>
  <sheetViews>
    <sheetView workbookViewId="0">
      <selection activeCell="J73" sqref="J73"/>
    </sheetView>
  </sheetViews>
  <sheetFormatPr baseColWidth="10" defaultColWidth="8.83203125" defaultRowHeight="15" x14ac:dyDescent="0.2"/>
  <cols>
    <col min="4" max="4" width="20.5" customWidth="1"/>
    <col min="5" max="5" width="7.6640625" customWidth="1"/>
    <col min="6" max="6" width="52.6640625" customWidth="1"/>
    <col min="7" max="7" width="7" customWidth="1"/>
    <col min="8" max="8" width="9.1640625" style="16"/>
    <col min="9" max="9" width="47.33203125" style="7" customWidth="1"/>
    <col min="10" max="10" width="70.1640625" bestFit="1" customWidth="1"/>
    <col min="11" max="11" width="33" bestFit="1" customWidth="1"/>
    <col min="14" max="14" width="20.83203125" bestFit="1" customWidth="1"/>
  </cols>
  <sheetData>
    <row r="3" spans="2:7" x14ac:dyDescent="0.2">
      <c r="B3" t="s">
        <v>149</v>
      </c>
      <c r="D3" t="str">
        <f>'Data Involved'!D8</f>
        <v>Inspectors Clock IN</v>
      </c>
    </row>
    <row r="5" spans="2:7" x14ac:dyDescent="0.2">
      <c r="B5" t="s">
        <v>150</v>
      </c>
      <c r="D5" t="str">
        <f>'Data Involved'!E8</f>
        <v>Inspector's Tablet / Clock In App</v>
      </c>
    </row>
    <row r="7" spans="2:7" ht="36" customHeight="1" x14ac:dyDescent="0.2">
      <c r="B7" t="s">
        <v>8</v>
      </c>
      <c r="D7" s="26" t="s">
        <v>268</v>
      </c>
      <c r="E7" s="26"/>
      <c r="F7" s="26"/>
    </row>
    <row r="8" spans="2:7" ht="31" customHeight="1" x14ac:dyDescent="0.2">
      <c r="D8" s="26" t="s">
        <v>269</v>
      </c>
      <c r="E8" s="26"/>
      <c r="F8" s="26"/>
    </row>
    <row r="13" spans="2:7" ht="16" x14ac:dyDescent="0.2">
      <c r="B13" s="11" t="s">
        <v>10</v>
      </c>
      <c r="C13" s="11"/>
      <c r="D13" s="11" t="s">
        <v>114</v>
      </c>
      <c r="E13" s="11"/>
      <c r="F13" s="11" t="s">
        <v>147</v>
      </c>
      <c r="G13" s="11"/>
    </row>
    <row r="14" spans="2:7" ht="16" x14ac:dyDescent="0.2">
      <c r="B14" t="s">
        <v>153</v>
      </c>
      <c r="C14" s="14" t="s">
        <v>151</v>
      </c>
      <c r="D14" s="7" t="str">
        <f>'Data Involved'!G8</f>
        <v>ClockInID</v>
      </c>
      <c r="E14" s="15" t="s">
        <v>152</v>
      </c>
      <c r="F14" s="7" t="str">
        <f>'Data Involved'!J8</f>
        <v>Auto Assigned by the LPQI DB Server</v>
      </c>
    </row>
    <row r="15" spans="2:7" ht="16" x14ac:dyDescent="0.2">
      <c r="B15" t="s">
        <v>154</v>
      </c>
      <c r="C15" s="14" t="s">
        <v>151</v>
      </c>
      <c r="D15" s="7" t="str">
        <f>'Data Involved'!G9</f>
        <v>InspectorID</v>
      </c>
      <c r="E15" s="15" t="s">
        <v>152</v>
      </c>
      <c r="F15" s="7" t="str">
        <f>'Data Involved'!J9</f>
        <v>Inspector Master Table</v>
      </c>
    </row>
    <row r="16" spans="2:7" ht="16" x14ac:dyDescent="0.2">
      <c r="B16" t="s">
        <v>155</v>
      </c>
      <c r="C16" s="14" t="s">
        <v>151</v>
      </c>
      <c r="D16" s="7" t="str">
        <f>'Data Involved'!G10</f>
        <v>DeviceID</v>
      </c>
      <c r="E16" s="15" t="s">
        <v>152</v>
      </c>
      <c r="F16" s="7" t="str">
        <f>'Data Involved'!J10</f>
        <v>Device Master Table</v>
      </c>
    </row>
    <row r="17" spans="2:14" ht="16" x14ac:dyDescent="0.2">
      <c r="B17" t="s">
        <v>116</v>
      </c>
      <c r="C17" s="14" t="s">
        <v>151</v>
      </c>
      <c r="D17" s="7" t="str">
        <f>'Data Involved'!G11</f>
        <v>SessionID</v>
      </c>
      <c r="E17" s="15" t="s">
        <v>152</v>
      </c>
      <c r="F17" s="7" t="str">
        <f>'Data Involved'!J11</f>
        <v>System</v>
      </c>
    </row>
    <row r="18" spans="2:14" ht="16" x14ac:dyDescent="0.2">
      <c r="B18" t="s">
        <v>162</v>
      </c>
      <c r="C18" s="14" t="s">
        <v>151</v>
      </c>
      <c r="D18" s="7" t="str">
        <f>'Data Involved'!G12</f>
        <v>RecordCreateDate</v>
      </c>
      <c r="E18" s="15" t="s">
        <v>152</v>
      </c>
      <c r="F18" s="7" t="str">
        <f>'Data Involved'!J12</f>
        <v>System Timestamp</v>
      </c>
    </row>
    <row r="19" spans="2:14" ht="16" x14ac:dyDescent="0.2">
      <c r="B19" t="s">
        <v>163</v>
      </c>
      <c r="C19" s="14" t="s">
        <v>151</v>
      </c>
      <c r="D19" s="7" t="str">
        <f>'Data Involved'!G13</f>
        <v>RecordCreateTime</v>
      </c>
      <c r="E19" s="15" t="s">
        <v>152</v>
      </c>
      <c r="F19" s="7" t="str">
        <f>'Data Involved'!J13</f>
        <v>System Timestamp</v>
      </c>
    </row>
    <row r="20" spans="2:14" ht="16" x14ac:dyDescent="0.2">
      <c r="B20" t="s">
        <v>85</v>
      </c>
      <c r="C20" s="14" t="s">
        <v>151</v>
      </c>
      <c r="D20" s="7" t="str">
        <f>'Data Involved'!G14</f>
        <v>RecordExpireDate</v>
      </c>
      <c r="E20" s="15" t="s">
        <v>152</v>
      </c>
      <c r="F20" s="7" t="str">
        <f>'Data Involved'!J14</f>
        <v>System</v>
      </c>
    </row>
    <row r="21" spans="2:14" ht="16" x14ac:dyDescent="0.2">
      <c r="B21" t="s">
        <v>86</v>
      </c>
      <c r="C21" s="14" t="s">
        <v>151</v>
      </c>
      <c r="D21" s="7" t="str">
        <f>'Data Involved'!G15</f>
        <v>RecordExpireTime</v>
      </c>
      <c r="E21" s="15" t="s">
        <v>152</v>
      </c>
      <c r="F21" s="7" t="str">
        <f>'Data Involved'!J15</f>
        <v>System</v>
      </c>
    </row>
    <row r="22" spans="2:14" ht="16" x14ac:dyDescent="0.2">
      <c r="B22" t="s">
        <v>164</v>
      </c>
      <c r="C22" s="14" t="s">
        <v>151</v>
      </c>
      <c r="D22" s="7" t="str">
        <f>'Data Involved'!G16</f>
        <v>ClockInDate</v>
      </c>
      <c r="E22" s="15" t="s">
        <v>152</v>
      </c>
      <c r="F22" s="7" t="str">
        <f>'Data Involved'!J16</f>
        <v>Clock In App</v>
      </c>
      <c r="H22" t="s">
        <v>159</v>
      </c>
      <c r="I22" t="str">
        <f>D3 &amp; " Actions"</f>
        <v>Inspectors Clock IN Actions</v>
      </c>
    </row>
    <row r="23" spans="2:14" ht="16" x14ac:dyDescent="0.2">
      <c r="B23" t="s">
        <v>87</v>
      </c>
      <c r="C23" s="14" t="s">
        <v>151</v>
      </c>
      <c r="D23" s="7" t="str">
        <f>'Data Involved'!G17</f>
        <v>ClockInTime</v>
      </c>
      <c r="E23" s="15" t="s">
        <v>152</v>
      </c>
      <c r="F23" s="7" t="str">
        <f>'Data Involved'!J17</f>
        <v>Clock In App</v>
      </c>
      <c r="H23"/>
      <c r="I23"/>
      <c r="L23" s="2"/>
      <c r="M23" s="2"/>
      <c r="N23" s="2"/>
    </row>
    <row r="24" spans="2:14" ht="16" x14ac:dyDescent="0.2">
      <c r="B24" t="s">
        <v>88</v>
      </c>
      <c r="C24" s="14" t="s">
        <v>151</v>
      </c>
      <c r="D24" s="7" t="str">
        <f>'Data Involved'!G18</f>
        <v>ClockOutDate</v>
      </c>
      <c r="E24" s="15" t="s">
        <v>152</v>
      </c>
      <c r="F24" s="7" t="str">
        <f>'Data Involved'!J18</f>
        <v>Clock In App</v>
      </c>
      <c r="H24" t="s">
        <v>150</v>
      </c>
      <c r="I24"/>
    </row>
    <row r="25" spans="2:14" ht="16" x14ac:dyDescent="0.2">
      <c r="B25" t="s">
        <v>89</v>
      </c>
      <c r="C25" s="14" t="s">
        <v>151</v>
      </c>
      <c r="D25" s="7" t="str">
        <f>'Data Involved'!G19</f>
        <v>ClockOutTime</v>
      </c>
      <c r="E25" s="15" t="s">
        <v>152</v>
      </c>
      <c r="F25" s="7" t="str">
        <f>'Data Involved'!J19</f>
        <v>Clock In App</v>
      </c>
      <c r="I25" s="7" t="str">
        <f>D5</f>
        <v>Inspector's Tablet / Clock In App</v>
      </c>
      <c r="J25" t="s">
        <v>167</v>
      </c>
    </row>
    <row r="26" spans="2:14" ht="16" x14ac:dyDescent="0.2">
      <c r="B26" t="s">
        <v>90</v>
      </c>
      <c r="C26" s="14" t="s">
        <v>151</v>
      </c>
      <c r="D26" s="7" t="str">
        <f>'Data Involved'!G20</f>
        <v>ClockInType</v>
      </c>
      <c r="E26" s="15" t="s">
        <v>152</v>
      </c>
      <c r="F26" s="7" t="str">
        <f>'Data Involved'!J20</f>
        <v>Clock In App</v>
      </c>
      <c r="H26" s="16" t="s">
        <v>111</v>
      </c>
      <c r="J26" t="s">
        <v>168</v>
      </c>
    </row>
    <row r="27" spans="2:14" ht="16" x14ac:dyDescent="0.2">
      <c r="B27" t="s">
        <v>91</v>
      </c>
      <c r="C27" s="14" t="s">
        <v>151</v>
      </c>
      <c r="D27" s="7" t="str">
        <f>'Data Involved'!G21</f>
        <v>ClockInStatus</v>
      </c>
      <c r="E27" s="15" t="s">
        <v>152</v>
      </c>
      <c r="F27" s="7" t="str">
        <f>'Data Involved'!J21</f>
        <v>Clock In App</v>
      </c>
      <c r="I27" s="7" t="s">
        <v>160</v>
      </c>
      <c r="J27" t="s">
        <v>169</v>
      </c>
    </row>
    <row r="28" spans="2:14" ht="16" x14ac:dyDescent="0.2">
      <c r="B28" t="s">
        <v>263</v>
      </c>
      <c r="C28" s="14" t="s">
        <v>151</v>
      </c>
      <c r="D28" s="7" t="str">
        <f>'Data Involved'!G22</f>
        <v>ClockInFailureReason</v>
      </c>
      <c r="E28" s="15" t="s">
        <v>152</v>
      </c>
      <c r="F28" s="7" t="str">
        <f>'Data Involved'!J22</f>
        <v>Clock In App</v>
      </c>
    </row>
    <row r="29" spans="2:14" ht="16" x14ac:dyDescent="0.2">
      <c r="B29" t="s">
        <v>92</v>
      </c>
      <c r="C29" s="14" t="s">
        <v>151</v>
      </c>
      <c r="D29" s="7" t="str">
        <f>'Data Involved'!G23</f>
        <v>RetryFlag</v>
      </c>
      <c r="E29" s="15" t="s">
        <v>152</v>
      </c>
      <c r="F29" s="7" t="str">
        <f>'Data Involved'!J23</f>
        <v>Clock In App</v>
      </c>
      <c r="H29" s="17" t="str">
        <f t="shared" ref="H29" si="0">B13</f>
        <v>ID</v>
      </c>
      <c r="I29" s="11" t="s">
        <v>157</v>
      </c>
      <c r="J29" s="5" t="s">
        <v>158</v>
      </c>
      <c r="K29" s="2"/>
      <c r="L29" s="2"/>
      <c r="M29" s="2"/>
    </row>
    <row r="30" spans="2:14" ht="16" x14ac:dyDescent="0.2">
      <c r="B30" t="s">
        <v>93</v>
      </c>
      <c r="C30" s="14" t="s">
        <v>151</v>
      </c>
      <c r="D30" s="7" t="str">
        <f>'Data Involved'!G24</f>
        <v>ClockInVerificationID</v>
      </c>
      <c r="E30" s="15" t="s">
        <v>152</v>
      </c>
      <c r="F30" s="7" t="str">
        <f>'Data Involved'!J24</f>
        <v>Verification Logs</v>
      </c>
      <c r="H30" t="s">
        <v>153</v>
      </c>
      <c r="I30" s="18" t="str">
        <f>C14&amp;" "&amp;D14&amp;" "&amp;E14&amp;" "&amp;F14</f>
        <v>Get ClockInID from Auto Assigned by the LPQI DB Server</v>
      </c>
      <c r="J30" t="s">
        <v>343</v>
      </c>
    </row>
    <row r="31" spans="2:14" ht="16" x14ac:dyDescent="0.2">
      <c r="B31" t="s">
        <v>94</v>
      </c>
      <c r="C31" s="14" t="s">
        <v>151</v>
      </c>
      <c r="D31" s="7" t="str">
        <f>'Data Involved'!G25</f>
        <v>VerificationMethod</v>
      </c>
      <c r="E31" s="15" t="s">
        <v>152</v>
      </c>
      <c r="F31" s="7" t="str">
        <f>'Data Involved'!J25</f>
        <v>Clock In App</v>
      </c>
      <c r="H31" t="s">
        <v>154</v>
      </c>
      <c r="I31" s="7" t="str">
        <f t="shared" ref="I31:I58" si="1">C15&amp;" "&amp;D15&amp;" "&amp;E15&amp;" "&amp;F15</f>
        <v>Get InspectorID from Inspector Master Table</v>
      </c>
      <c r="J31" t="s">
        <v>344</v>
      </c>
    </row>
    <row r="32" spans="2:14" ht="16" x14ac:dyDescent="0.2">
      <c r="B32" t="s">
        <v>95</v>
      </c>
      <c r="C32" s="14" t="s">
        <v>151</v>
      </c>
      <c r="D32" s="7" t="str">
        <f>'Data Involved'!G26</f>
        <v>VerificationDeviceType</v>
      </c>
      <c r="E32" s="15" t="s">
        <v>152</v>
      </c>
      <c r="F32" s="7" t="str">
        <f>'Data Involved'!J26</f>
        <v>Clock In App</v>
      </c>
      <c r="H32" t="s">
        <v>155</v>
      </c>
      <c r="I32" s="7" t="str">
        <f t="shared" si="1"/>
        <v>Get DeviceID from Device Master Table</v>
      </c>
      <c r="J32" t="s">
        <v>345</v>
      </c>
    </row>
    <row r="33" spans="2:10" ht="17.25" customHeight="1" x14ac:dyDescent="0.2">
      <c r="B33" t="s">
        <v>96</v>
      </c>
      <c r="C33" s="14" t="s">
        <v>151</v>
      </c>
      <c r="D33" s="7" t="str">
        <f>'Data Involved'!G27</f>
        <v>LoginLocation</v>
      </c>
      <c r="E33" s="15" t="s">
        <v>152</v>
      </c>
      <c r="F33" s="7" t="str">
        <f>'Data Involved'!J27</f>
        <v>Location Master Table</v>
      </c>
      <c r="H33" t="s">
        <v>116</v>
      </c>
      <c r="I33" s="7" t="str">
        <f t="shared" si="1"/>
        <v>Get SessionID from System</v>
      </c>
      <c r="J33" t="s">
        <v>343</v>
      </c>
    </row>
    <row r="34" spans="2:10" ht="16" x14ac:dyDescent="0.2">
      <c r="B34" t="s">
        <v>100</v>
      </c>
      <c r="C34" s="14" t="s">
        <v>151</v>
      </c>
      <c r="D34" s="7" t="str">
        <f>'Data Involved'!G28</f>
        <v>WorkAction</v>
      </c>
      <c r="E34" s="15" t="s">
        <v>152</v>
      </c>
      <c r="F34" s="7" t="str">
        <f>'Data Involved'!J28</f>
        <v>Clock In App</v>
      </c>
      <c r="H34" t="s">
        <v>162</v>
      </c>
      <c r="I34" s="7" t="str">
        <f t="shared" si="1"/>
        <v>Get RecordCreateDate from System Timestamp</v>
      </c>
      <c r="J34" t="s">
        <v>343</v>
      </c>
    </row>
    <row r="35" spans="2:10" ht="16" x14ac:dyDescent="0.2">
      <c r="B35" t="s">
        <v>101</v>
      </c>
      <c r="C35" s="14" t="s">
        <v>151</v>
      </c>
      <c r="D35" s="7" t="str">
        <f>'Data Involved'!G29</f>
        <v>ClockInReason</v>
      </c>
      <c r="E35" s="15" t="s">
        <v>152</v>
      </c>
      <c r="F35" s="7" t="str">
        <f>'Data Involved'!J29</f>
        <v>Clock In App</v>
      </c>
      <c r="H35" t="s">
        <v>163</v>
      </c>
      <c r="I35" s="7" t="str">
        <f t="shared" si="1"/>
        <v>Get RecordCreateTime from System Timestamp</v>
      </c>
      <c r="J35" t="s">
        <v>343</v>
      </c>
    </row>
    <row r="36" spans="2:10" ht="16" x14ac:dyDescent="0.2">
      <c r="B36" t="s">
        <v>102</v>
      </c>
      <c r="C36" s="14" t="s">
        <v>151</v>
      </c>
      <c r="D36" s="7" t="str">
        <f>'Data Involved'!G30</f>
        <v>VerificationFlag</v>
      </c>
      <c r="E36" s="15" t="s">
        <v>152</v>
      </c>
      <c r="F36" s="7" t="str">
        <f>'Data Involved'!J30</f>
        <v>Authentication System</v>
      </c>
      <c r="H36" t="s">
        <v>85</v>
      </c>
      <c r="I36" s="7" t="str">
        <f t="shared" si="1"/>
        <v>Get RecordExpireDate from System</v>
      </c>
      <c r="J36" t="s">
        <v>344</v>
      </c>
    </row>
    <row r="37" spans="2:10" ht="16" x14ac:dyDescent="0.2">
      <c r="B37" t="s">
        <v>104</v>
      </c>
      <c r="C37" s="14" t="s">
        <v>151</v>
      </c>
      <c r="D37" s="7" t="str">
        <f>'Data Involved'!G31</f>
        <v>InspectorBadgeID</v>
      </c>
      <c r="E37" s="15" t="s">
        <v>152</v>
      </c>
      <c r="F37" s="7" t="str">
        <f>'Data Involved'!J31</f>
        <v>Badge System</v>
      </c>
      <c r="H37" t="s">
        <v>86</v>
      </c>
      <c r="I37" s="7" t="str">
        <f t="shared" si="1"/>
        <v>Get RecordExpireTime from System</v>
      </c>
      <c r="J37" t="s">
        <v>344</v>
      </c>
    </row>
    <row r="38" spans="2:10" ht="16" x14ac:dyDescent="0.2">
      <c r="B38" t="s">
        <v>108</v>
      </c>
      <c r="C38" s="14" t="s">
        <v>151</v>
      </c>
      <c r="D38" s="7" t="str">
        <f>'Data Involved'!G32</f>
        <v>PasswordEntered</v>
      </c>
      <c r="E38" s="15" t="s">
        <v>152</v>
      </c>
      <c r="F38" s="7" t="str">
        <f>'Data Involved'!J32</f>
        <v>Clock In App</v>
      </c>
      <c r="H38" t="s">
        <v>164</v>
      </c>
      <c r="I38" s="7" t="str">
        <f t="shared" si="1"/>
        <v>Get ClockInDate from Clock In App</v>
      </c>
      <c r="J38" t="s">
        <v>344</v>
      </c>
    </row>
    <row r="39" spans="2:10" ht="16" x14ac:dyDescent="0.2">
      <c r="B39" t="s">
        <v>264</v>
      </c>
      <c r="C39" s="14" t="s">
        <v>151</v>
      </c>
      <c r="D39" s="7" t="str">
        <f>'Data Involved'!G33</f>
        <v>DeviceTrusted</v>
      </c>
      <c r="E39" s="15" t="s">
        <v>152</v>
      </c>
      <c r="F39" s="7" t="str">
        <f>'Data Involved'!J33</f>
        <v>Device Config</v>
      </c>
      <c r="H39" t="s">
        <v>87</v>
      </c>
      <c r="I39" s="7" t="str">
        <f t="shared" si="1"/>
        <v>Get ClockInTime from Clock In App</v>
      </c>
      <c r="J39" t="s">
        <v>346</v>
      </c>
    </row>
    <row r="40" spans="2:10" ht="17.25" customHeight="1" x14ac:dyDescent="0.2">
      <c r="B40" t="s">
        <v>265</v>
      </c>
      <c r="C40" s="14" t="s">
        <v>151</v>
      </c>
      <c r="D40" s="7" t="str">
        <f>'Data Involved'!G34</f>
        <v>ActiveSessionID</v>
      </c>
      <c r="E40" s="15" t="s">
        <v>152</v>
      </c>
      <c r="F40" s="7" t="str">
        <f>'Data Involved'!J34</f>
        <v>Session Logs</v>
      </c>
      <c r="H40" t="s">
        <v>88</v>
      </c>
      <c r="I40" s="7" t="str">
        <f t="shared" si="1"/>
        <v>Get ClockOutDate from Clock In App</v>
      </c>
      <c r="J40" t="s">
        <v>346</v>
      </c>
    </row>
    <row r="41" spans="2:10" ht="16" x14ac:dyDescent="0.2">
      <c r="B41" t="s">
        <v>266</v>
      </c>
      <c r="C41" s="14" t="s">
        <v>151</v>
      </c>
      <c r="D41" s="7" t="str">
        <f>'Data Involved'!G35</f>
        <v>InspectorLogStatus</v>
      </c>
      <c r="E41" s="15" t="s">
        <v>152</v>
      </c>
      <c r="F41" s="7" t="str">
        <f>'Data Involved'!J35</f>
        <v>Clock In App</v>
      </c>
      <c r="H41" t="s">
        <v>89</v>
      </c>
      <c r="I41" s="7" t="str">
        <f t="shared" si="1"/>
        <v>Get ClockOutTime from Clock In App</v>
      </c>
      <c r="J41" t="s">
        <v>346</v>
      </c>
    </row>
    <row r="42" spans="2:10" ht="15.75" customHeight="1" x14ac:dyDescent="0.2">
      <c r="B42" t="s">
        <v>267</v>
      </c>
      <c r="C42" s="14" t="s">
        <v>151</v>
      </c>
      <c r="D42" s="7" t="str">
        <f>'Data Involved'!G36</f>
        <v>AttendanceFlag</v>
      </c>
      <c r="E42" s="15" t="s">
        <v>152</v>
      </c>
      <c r="F42" s="7" t="str">
        <f>'Data Involved'!J36</f>
        <v>HR Table</v>
      </c>
      <c r="H42" t="s">
        <v>90</v>
      </c>
      <c r="I42" s="7" t="str">
        <f t="shared" si="1"/>
        <v>Get ClockInType from Clock In App</v>
      </c>
      <c r="J42" t="s">
        <v>346</v>
      </c>
    </row>
    <row r="43" spans="2:10" ht="18.75" customHeight="1" x14ac:dyDescent="0.2">
      <c r="H43" t="s">
        <v>91</v>
      </c>
      <c r="I43" s="7" t="str">
        <f t="shared" si="1"/>
        <v>Get ClockInStatus from Clock In App</v>
      </c>
      <c r="J43" t="s">
        <v>343</v>
      </c>
    </row>
    <row r="44" spans="2:10" ht="16" x14ac:dyDescent="0.2">
      <c r="H44" t="s">
        <v>263</v>
      </c>
      <c r="I44" s="7" t="str">
        <f t="shared" si="1"/>
        <v>Get ClockInFailureReason from Clock In App</v>
      </c>
      <c r="J44" t="s">
        <v>344</v>
      </c>
    </row>
    <row r="45" spans="2:10" ht="16" x14ac:dyDescent="0.2">
      <c r="H45" t="s">
        <v>92</v>
      </c>
      <c r="I45" s="7" t="str">
        <f t="shared" si="1"/>
        <v>Get RetryFlag from Clock In App</v>
      </c>
      <c r="J45" t="s">
        <v>343</v>
      </c>
    </row>
    <row r="46" spans="2:10" ht="16" x14ac:dyDescent="0.2">
      <c r="H46" t="s">
        <v>93</v>
      </c>
      <c r="I46" s="7" t="str">
        <f t="shared" si="1"/>
        <v>Get ClockInVerificationID from Verification Logs</v>
      </c>
      <c r="J46" t="s">
        <v>347</v>
      </c>
    </row>
    <row r="47" spans="2:10" ht="16" x14ac:dyDescent="0.2">
      <c r="H47" t="s">
        <v>94</v>
      </c>
      <c r="I47" s="7" t="str">
        <f t="shared" si="1"/>
        <v>Get VerificationMethod from Clock In App</v>
      </c>
      <c r="J47" t="s">
        <v>348</v>
      </c>
    </row>
    <row r="48" spans="2:10" ht="16" x14ac:dyDescent="0.2">
      <c r="H48" t="s">
        <v>95</v>
      </c>
      <c r="I48" s="7" t="str">
        <f t="shared" si="1"/>
        <v>Get VerificationDeviceType from Clock In App</v>
      </c>
      <c r="J48" t="s">
        <v>345</v>
      </c>
    </row>
    <row r="49" spans="8:10" ht="16" x14ac:dyDescent="0.2">
      <c r="H49" t="s">
        <v>96</v>
      </c>
      <c r="I49" s="7" t="str">
        <f t="shared" si="1"/>
        <v>Get LoginLocation from Location Master Table</v>
      </c>
      <c r="J49" t="s">
        <v>345</v>
      </c>
    </row>
    <row r="50" spans="8:10" ht="16" x14ac:dyDescent="0.2">
      <c r="H50" t="s">
        <v>100</v>
      </c>
      <c r="I50" s="7" t="str">
        <f t="shared" si="1"/>
        <v>Get WorkAction from Clock In App</v>
      </c>
      <c r="J50" t="s">
        <v>347</v>
      </c>
    </row>
    <row r="51" spans="8:10" ht="16" x14ac:dyDescent="0.2">
      <c r="H51" t="s">
        <v>101</v>
      </c>
      <c r="I51" s="7" t="str">
        <f t="shared" si="1"/>
        <v>Get ClockInReason from Clock In App</v>
      </c>
      <c r="J51" t="s">
        <v>344</v>
      </c>
    </row>
    <row r="52" spans="8:10" ht="16" x14ac:dyDescent="0.2">
      <c r="H52" t="s">
        <v>102</v>
      </c>
      <c r="I52" s="7" t="str">
        <f t="shared" si="1"/>
        <v>Get VerificationFlag from Authentication System</v>
      </c>
      <c r="J52" t="s">
        <v>348</v>
      </c>
    </row>
    <row r="53" spans="8:10" ht="16" x14ac:dyDescent="0.2">
      <c r="H53" t="s">
        <v>104</v>
      </c>
      <c r="I53" s="7" t="str">
        <f t="shared" si="1"/>
        <v>Get InspectorBadgeID from Badge System</v>
      </c>
      <c r="J53" t="s">
        <v>347</v>
      </c>
    </row>
    <row r="54" spans="8:10" ht="16" x14ac:dyDescent="0.2">
      <c r="H54" t="s">
        <v>108</v>
      </c>
      <c r="I54" s="7" t="str">
        <f t="shared" si="1"/>
        <v>Get PasswordEntered from Clock In App</v>
      </c>
      <c r="J54" t="s">
        <v>348</v>
      </c>
    </row>
    <row r="55" spans="8:10" ht="16" x14ac:dyDescent="0.2">
      <c r="H55" t="s">
        <v>264</v>
      </c>
      <c r="I55" s="7" t="str">
        <f t="shared" si="1"/>
        <v>Get DeviceTrusted from Device Config</v>
      </c>
      <c r="J55" t="s">
        <v>345</v>
      </c>
    </row>
    <row r="56" spans="8:10" ht="16" x14ac:dyDescent="0.2">
      <c r="H56" t="s">
        <v>265</v>
      </c>
      <c r="I56" s="7" t="str">
        <f t="shared" si="1"/>
        <v>Get ActiveSessionID from Session Logs</v>
      </c>
      <c r="J56" t="s">
        <v>343</v>
      </c>
    </row>
    <row r="57" spans="8:10" ht="16" x14ac:dyDescent="0.2">
      <c r="H57" t="s">
        <v>266</v>
      </c>
      <c r="I57" s="7" t="str">
        <f t="shared" si="1"/>
        <v>Get InspectorLogStatus from Clock In App</v>
      </c>
      <c r="J57" t="s">
        <v>347</v>
      </c>
    </row>
    <row r="58" spans="8:10" ht="16" x14ac:dyDescent="0.2">
      <c r="H58" t="s">
        <v>267</v>
      </c>
      <c r="I58" s="7" t="str">
        <f t="shared" si="1"/>
        <v>Get AttendanceFlag from HR Table</v>
      </c>
      <c r="J58" t="s">
        <v>349</v>
      </c>
    </row>
    <row r="61" spans="8:10" x14ac:dyDescent="0.2">
      <c r="H61" s="16" t="s">
        <v>161</v>
      </c>
    </row>
    <row r="63" spans="8:10" ht="16" x14ac:dyDescent="0.2">
      <c r="H63" s="17" t="s">
        <v>165</v>
      </c>
      <c r="I63" s="11" t="s">
        <v>166</v>
      </c>
      <c r="J63" s="5" t="s">
        <v>161</v>
      </c>
    </row>
    <row r="64" spans="8:10" x14ac:dyDescent="0.2">
      <c r="H64" t="s">
        <v>331</v>
      </c>
      <c r="I64" t="s">
        <v>350</v>
      </c>
      <c r="J64" t="s">
        <v>351</v>
      </c>
    </row>
    <row r="65" spans="8:12" x14ac:dyDescent="0.2">
      <c r="H65" t="s">
        <v>332</v>
      </c>
      <c r="I65" t="s">
        <v>333</v>
      </c>
      <c r="J65" t="s">
        <v>352</v>
      </c>
    </row>
    <row r="66" spans="8:12" x14ac:dyDescent="0.2">
      <c r="H66" t="s">
        <v>334</v>
      </c>
      <c r="I66" t="s">
        <v>353</v>
      </c>
      <c r="J66" t="s">
        <v>354</v>
      </c>
      <c r="K66" s="2"/>
      <c r="L66" s="2"/>
    </row>
    <row r="67" spans="8:12" x14ac:dyDescent="0.2">
      <c r="H67" t="s">
        <v>335</v>
      </c>
      <c r="I67" t="s">
        <v>336</v>
      </c>
      <c r="J67" t="s">
        <v>355</v>
      </c>
    </row>
    <row r="68" spans="8:12" x14ac:dyDescent="0.2">
      <c r="H68" t="s">
        <v>337</v>
      </c>
      <c r="I68" t="s">
        <v>338</v>
      </c>
      <c r="J68" t="s">
        <v>356</v>
      </c>
    </row>
    <row r="69" spans="8:12" x14ac:dyDescent="0.2">
      <c r="H69" t="s">
        <v>339</v>
      </c>
      <c r="I69" t="s">
        <v>340</v>
      </c>
      <c r="J69" t="s">
        <v>357</v>
      </c>
    </row>
    <row r="70" spans="8:12" x14ac:dyDescent="0.2">
      <c r="H70" t="s">
        <v>341</v>
      </c>
      <c r="I70" t="s">
        <v>342</v>
      </c>
      <c r="J70" t="s">
        <v>358</v>
      </c>
    </row>
    <row r="71" spans="8:12" x14ac:dyDescent="0.2">
      <c r="H71" s="19"/>
      <c r="I71"/>
      <c r="J71" s="2"/>
    </row>
    <row r="72" spans="8:12" x14ac:dyDescent="0.2">
      <c r="H72" s="19"/>
      <c r="I72"/>
      <c r="J72" s="2"/>
    </row>
    <row r="73" spans="8:12" x14ac:dyDescent="0.2">
      <c r="H73" s="19"/>
      <c r="I73" s="20"/>
      <c r="J73" s="20"/>
    </row>
    <row r="74" spans="8:12" x14ac:dyDescent="0.2">
      <c r="H74" s="19"/>
      <c r="I74" s="20"/>
      <c r="J74" s="20"/>
    </row>
    <row r="75" spans="8:12" x14ac:dyDescent="0.2">
      <c r="H75" s="19"/>
      <c r="I75" s="20"/>
      <c r="J75" s="20"/>
    </row>
    <row r="76" spans="8:12" x14ac:dyDescent="0.2">
      <c r="H76" s="19"/>
      <c r="I76" s="20"/>
      <c r="J76" s="20"/>
    </row>
    <row r="77" spans="8:12" x14ac:dyDescent="0.2">
      <c r="H77" s="19"/>
      <c r="I77" s="20"/>
      <c r="J77" s="20"/>
    </row>
    <row r="78" spans="8:12" x14ac:dyDescent="0.2">
      <c r="H78" s="19"/>
      <c r="I78" s="20"/>
      <c r="J78" s="20"/>
    </row>
    <row r="79" spans="8:12" x14ac:dyDescent="0.2">
      <c r="H79" s="19"/>
      <c r="I79" s="20"/>
      <c r="J79" s="20"/>
    </row>
    <row r="80" spans="8:12" x14ac:dyDescent="0.2">
      <c r="H80" s="19"/>
      <c r="I80" s="20"/>
      <c r="J80" s="20"/>
    </row>
    <row r="81" spans="8:10" x14ac:dyDescent="0.2">
      <c r="H81" s="19"/>
      <c r="I81" s="20"/>
      <c r="J81" s="20"/>
    </row>
    <row r="82" spans="8:10" x14ac:dyDescent="0.2">
      <c r="H82" s="19"/>
      <c r="I82" s="20"/>
      <c r="J82" s="20"/>
    </row>
    <row r="83" spans="8:10" x14ac:dyDescent="0.2">
      <c r="H83" s="19"/>
      <c r="I83" s="20"/>
      <c r="J83" s="20"/>
    </row>
    <row r="84" spans="8:10" x14ac:dyDescent="0.2">
      <c r="H84" s="19"/>
      <c r="I84" s="20"/>
      <c r="J84" s="20"/>
    </row>
    <row r="85" spans="8:10" x14ac:dyDescent="0.2">
      <c r="H85" s="19"/>
      <c r="I85" s="20"/>
      <c r="J85" s="20"/>
    </row>
    <row r="86" spans="8:10" x14ac:dyDescent="0.2">
      <c r="H86" s="19"/>
      <c r="I86" s="20"/>
      <c r="J86" s="20"/>
    </row>
    <row r="87" spans="8:10" x14ac:dyDescent="0.2">
      <c r="H87" s="19"/>
      <c r="I87" s="20"/>
      <c r="J87" s="20"/>
    </row>
    <row r="88" spans="8:10" x14ac:dyDescent="0.2">
      <c r="H88" s="19"/>
      <c r="I88" s="20"/>
      <c r="J88" s="20"/>
    </row>
    <row r="89" spans="8:10" x14ac:dyDescent="0.2">
      <c r="H89" s="19"/>
      <c r="I89" s="20"/>
      <c r="J89" s="20"/>
    </row>
    <row r="90" spans="8:10" x14ac:dyDescent="0.2">
      <c r="H90" s="19"/>
      <c r="I90" s="20"/>
      <c r="J90" s="20"/>
    </row>
  </sheetData>
  <mergeCells count="2">
    <mergeCell ref="D7:F7"/>
    <mergeCell ref="D8:F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E27A-21F2-490C-8105-259EE63F03B1}">
  <dimension ref="A1:F31"/>
  <sheetViews>
    <sheetView zoomScale="125" workbookViewId="0">
      <selection activeCell="D16" sqref="D16"/>
    </sheetView>
  </sheetViews>
  <sheetFormatPr baseColWidth="10" defaultColWidth="8.83203125" defaultRowHeight="15" x14ac:dyDescent="0.2"/>
  <cols>
    <col min="2" max="2" width="20.33203125" bestFit="1" customWidth="1"/>
    <col min="3" max="3" width="70.5" bestFit="1" customWidth="1"/>
    <col min="4" max="4" width="46.6640625" bestFit="1" customWidth="1"/>
    <col min="5" max="5" width="50.1640625" bestFit="1" customWidth="1"/>
    <col min="6" max="6" width="56.5" bestFit="1" customWidth="1"/>
  </cols>
  <sheetData>
    <row r="1" spans="1:6" x14ac:dyDescent="0.2">
      <c r="A1" s="16" t="s">
        <v>161</v>
      </c>
      <c r="B1" s="7"/>
    </row>
    <row r="2" spans="1:6" x14ac:dyDescent="0.2">
      <c r="A2" s="16"/>
      <c r="B2" s="7"/>
    </row>
    <row r="3" spans="1:6" x14ac:dyDescent="0.2">
      <c r="A3" s="19" t="s">
        <v>388</v>
      </c>
      <c r="B3" s="19" t="s">
        <v>166</v>
      </c>
      <c r="C3" s="19" t="s">
        <v>330</v>
      </c>
      <c r="D3" s="19" t="s">
        <v>359</v>
      </c>
      <c r="E3" s="19" t="s">
        <v>360</v>
      </c>
      <c r="F3" s="19" t="s">
        <v>361</v>
      </c>
    </row>
    <row r="4" spans="1:6" x14ac:dyDescent="0.2">
      <c r="A4" s="19" t="s">
        <v>331</v>
      </c>
      <c r="B4" s="20" t="s">
        <v>350</v>
      </c>
      <c r="C4" s="20" t="s">
        <v>351</v>
      </c>
      <c r="D4" s="20" t="s">
        <v>362</v>
      </c>
      <c r="E4" s="20" t="s">
        <v>363</v>
      </c>
      <c r="F4" s="20" t="s">
        <v>364</v>
      </c>
    </row>
    <row r="5" spans="1:6" x14ac:dyDescent="0.2">
      <c r="A5" s="19" t="s">
        <v>332</v>
      </c>
      <c r="B5" s="20" t="s">
        <v>333</v>
      </c>
      <c r="C5" s="20" t="s">
        <v>365</v>
      </c>
      <c r="D5" s="20" t="s">
        <v>366</v>
      </c>
      <c r="E5" s="20" t="s">
        <v>367</v>
      </c>
      <c r="F5" s="20" t="s">
        <v>389</v>
      </c>
    </row>
    <row r="6" spans="1:6" x14ac:dyDescent="0.2">
      <c r="A6" s="19" t="s">
        <v>334</v>
      </c>
      <c r="B6" s="20" t="s">
        <v>353</v>
      </c>
      <c r="C6" s="20" t="s">
        <v>368</v>
      </c>
      <c r="D6" s="20" t="s">
        <v>369</v>
      </c>
      <c r="E6" s="20" t="s">
        <v>370</v>
      </c>
      <c r="F6" s="20" t="s">
        <v>371</v>
      </c>
    </row>
    <row r="7" spans="1:6" x14ac:dyDescent="0.2">
      <c r="A7" s="19" t="s">
        <v>335</v>
      </c>
      <c r="B7" s="20" t="s">
        <v>336</v>
      </c>
      <c r="C7" s="20" t="s">
        <v>372</v>
      </c>
      <c r="D7" s="20" t="s">
        <v>373</v>
      </c>
      <c r="E7" s="20" t="s">
        <v>374</v>
      </c>
      <c r="F7" s="20" t="s">
        <v>375</v>
      </c>
    </row>
    <row r="8" spans="1:6" x14ac:dyDescent="0.2">
      <c r="A8" s="19" t="s">
        <v>337</v>
      </c>
      <c r="B8" s="20" t="s">
        <v>338</v>
      </c>
      <c r="C8" s="20" t="s">
        <v>376</v>
      </c>
      <c r="D8" s="20" t="s">
        <v>377</v>
      </c>
      <c r="E8" s="20" t="s">
        <v>378</v>
      </c>
      <c r="F8" s="20" t="s">
        <v>379</v>
      </c>
    </row>
    <row r="9" spans="1:6" x14ac:dyDescent="0.2">
      <c r="A9" s="19" t="s">
        <v>339</v>
      </c>
      <c r="B9" s="20" t="s">
        <v>340</v>
      </c>
      <c r="C9" s="20" t="s">
        <v>380</v>
      </c>
      <c r="D9" s="20" t="s">
        <v>381</v>
      </c>
      <c r="E9" s="20" t="s">
        <v>382</v>
      </c>
      <c r="F9" s="20" t="s">
        <v>383</v>
      </c>
    </row>
    <row r="10" spans="1:6" x14ac:dyDescent="0.2">
      <c r="A10" s="19" t="s">
        <v>341</v>
      </c>
      <c r="B10" s="20" t="s">
        <v>342</v>
      </c>
      <c r="C10" s="20" t="s">
        <v>384</v>
      </c>
      <c r="D10" s="20" t="s">
        <v>385</v>
      </c>
      <c r="E10" s="20" t="s">
        <v>386</v>
      </c>
      <c r="F10" s="20" t="s">
        <v>387</v>
      </c>
    </row>
    <row r="11" spans="1:6" x14ac:dyDescent="0.2">
      <c r="A11" s="19"/>
      <c r="B11" s="20"/>
      <c r="C11" s="20"/>
      <c r="D11" s="20"/>
    </row>
    <row r="12" spans="1:6" x14ac:dyDescent="0.2">
      <c r="A12" s="19"/>
      <c r="B12" s="20"/>
      <c r="C12" s="20"/>
      <c r="D12" s="20"/>
    </row>
    <row r="13" spans="1:6" x14ac:dyDescent="0.2">
      <c r="A13" s="19"/>
      <c r="B13" s="20"/>
      <c r="C13" s="20"/>
      <c r="D13" s="20"/>
    </row>
    <row r="14" spans="1:6" x14ac:dyDescent="0.2">
      <c r="A14" s="19"/>
      <c r="B14" s="20"/>
      <c r="C14" s="20"/>
      <c r="D14" s="20"/>
    </row>
    <row r="15" spans="1:6" x14ac:dyDescent="0.2">
      <c r="A15" s="19"/>
      <c r="B15" s="20"/>
      <c r="C15" s="20"/>
      <c r="D15" s="20"/>
    </row>
    <row r="16" spans="1:6" x14ac:dyDescent="0.2">
      <c r="A16" s="19"/>
      <c r="B16" s="20"/>
      <c r="C16" s="20"/>
      <c r="D16" s="20"/>
    </row>
    <row r="17" spans="1:4" x14ac:dyDescent="0.2">
      <c r="A17" s="19"/>
      <c r="B17" s="20"/>
      <c r="C17" s="20"/>
      <c r="D17" s="20"/>
    </row>
    <row r="18" spans="1:4" x14ac:dyDescent="0.2">
      <c r="A18" s="19"/>
      <c r="B18" s="20"/>
      <c r="C18" s="20"/>
      <c r="D18" s="20"/>
    </row>
    <row r="19" spans="1:4" x14ac:dyDescent="0.2">
      <c r="A19" s="19"/>
      <c r="B19" s="20"/>
      <c r="C19" s="20"/>
      <c r="D19" s="20"/>
    </row>
    <row r="20" spans="1:4" x14ac:dyDescent="0.2">
      <c r="A20" s="19"/>
      <c r="B20" s="20"/>
      <c r="C20" s="20"/>
      <c r="D20" s="20"/>
    </row>
    <row r="21" spans="1:4" x14ac:dyDescent="0.2">
      <c r="A21" s="19"/>
      <c r="B21" s="20"/>
      <c r="C21" s="20"/>
      <c r="D21" s="20"/>
    </row>
    <row r="22" spans="1:4" x14ac:dyDescent="0.2">
      <c r="A22" s="19"/>
      <c r="B22" s="20"/>
      <c r="C22" s="20"/>
      <c r="D22" s="20"/>
    </row>
    <row r="23" spans="1:4" x14ac:dyDescent="0.2">
      <c r="A23" s="19"/>
      <c r="B23" s="20"/>
      <c r="C23" s="20"/>
      <c r="D23" s="20"/>
    </row>
    <row r="24" spans="1:4" x14ac:dyDescent="0.2">
      <c r="A24" s="19"/>
      <c r="B24" s="20"/>
      <c r="C24" s="20"/>
      <c r="D24" s="20"/>
    </row>
    <row r="25" spans="1:4" x14ac:dyDescent="0.2">
      <c r="A25" s="19"/>
      <c r="B25" s="20"/>
      <c r="C25" s="20"/>
      <c r="D25" s="20"/>
    </row>
    <row r="26" spans="1:4" x14ac:dyDescent="0.2">
      <c r="A26" s="19"/>
      <c r="B26" s="20"/>
      <c r="C26" s="20"/>
      <c r="D26" s="20"/>
    </row>
    <row r="27" spans="1:4" x14ac:dyDescent="0.2">
      <c r="A27" s="19"/>
      <c r="B27" s="20"/>
      <c r="C27" s="20"/>
      <c r="D27" s="20"/>
    </row>
    <row r="28" spans="1:4" x14ac:dyDescent="0.2">
      <c r="A28" s="19"/>
      <c r="B28" s="20"/>
      <c r="C28" s="20"/>
      <c r="D28" s="20"/>
    </row>
    <row r="29" spans="1:4" x14ac:dyDescent="0.2">
      <c r="A29" s="19"/>
      <c r="B29" s="20"/>
      <c r="C29" s="20"/>
      <c r="D29" s="20"/>
    </row>
    <row r="30" spans="1:4" x14ac:dyDescent="0.2">
      <c r="A30" s="19"/>
      <c r="B30" s="20"/>
      <c r="C30" s="20"/>
      <c r="D30" s="20"/>
    </row>
    <row r="31" spans="1:4" x14ac:dyDescent="0.2">
      <c r="A31" s="19"/>
      <c r="B31" s="20"/>
      <c r="C31" s="20"/>
      <c r="D31" s="20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558E-966F-B749-B568-D45E9952F512}">
  <dimension ref="A1"/>
  <sheetViews>
    <sheetView tabSelected="1" zoomScale="139" workbookViewId="0">
      <selection activeCell="K5" sqref="K5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ReadMeFirst</vt:lpstr>
      <vt:lpstr>Deliverables</vt:lpstr>
      <vt:lpstr>Actors</vt:lpstr>
      <vt:lpstr>Interactions</vt:lpstr>
      <vt:lpstr>Tablet App</vt:lpstr>
      <vt:lpstr>Data Involved</vt:lpstr>
      <vt:lpstr>Actions</vt:lpstr>
      <vt:lpstr>Risks</vt:lpstr>
      <vt:lpstr>Fishbone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Nixon</dc:creator>
  <cp:lastModifiedBy>Sakshi Sandeep Salvi</cp:lastModifiedBy>
  <dcterms:created xsi:type="dcterms:W3CDTF">2024-02-14T14:01:29Z</dcterms:created>
  <dcterms:modified xsi:type="dcterms:W3CDTF">2025-06-21T19:33:03Z</dcterms:modified>
</cp:coreProperties>
</file>